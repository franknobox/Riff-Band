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aeac19fcb64f24" /></Relationships>
</file>

<file path=xl/workbook.xml><?xml version="1.0" encoding="utf-8"?>
<x:workbook xmlns:x="http://schemas.openxmlformats.org/spreadsheetml/2006/main">
  <x:sheets>
    <x:sheet xmlns:r="http://schemas.openxmlformats.org/officeDocument/2006/relationships" name="Overview" sheetId="1" r:id="Rf420cc29781b431c"/>
    <x:sheet xmlns:r="http://schemas.openxmlformats.org/officeDocument/2006/relationships" name="Read Me" sheetId="2" r:id="Re6079c8b216d484c"/>
    <x:sheet xmlns:r="http://schemas.openxmlformats.org/officeDocument/2006/relationships" name="Papers" sheetId="3" r:id="R44e29738f0524674"/>
    <x:sheet xmlns:r="http://schemas.openxmlformats.org/officeDocument/2006/relationships" name="Methods" sheetId="4" r:id="R2d974556da284562"/>
    <x:sheet xmlns:r="http://schemas.openxmlformats.org/officeDocument/2006/relationships" name="Data Sources" sheetId="5" r:id="Rcdcd91b7b6f44545"/>
    <x:sheet xmlns:r="http://schemas.openxmlformats.org/officeDocument/2006/relationships" name="Formulas" sheetId="6" r:id="R913c557c983249ba"/>
    <x:sheet xmlns:r="http://schemas.openxmlformats.org/officeDocument/2006/relationships" name="Backlog" sheetId="7" r:id="R3f00d3a5ac534ea3"/>
    <x:sheet xmlns:r="http://schemas.openxmlformats.org/officeDocument/2006/relationships" name="Risks" sheetId="8" r:id="R5399205f34ae44a3"/>
    <x:sheet xmlns:r="http://schemas.openxmlformats.org/officeDocument/2006/relationships" name="Topic Scout" sheetId="9" r:id="R9db40d05b2ea4bc4"/>
    <x:sheet xmlns:r="http://schemas.openxmlformats.org/officeDocument/2006/relationships" name="Stage Agents" sheetId="10" r:id="Rdf1c3db98d944de3"/>
    <x:sheet xmlns:r="http://schemas.openxmlformats.org/officeDocument/2006/relationships" name="Stata Workbench" sheetId="11" r:id="R479febf9f466458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
    <x:numFmt numFmtId="203" formatCode="#,##0.0"/>
  </x:numFmts>
  <x:fonts count="18">
    <x:font>
      <x:sz val="11"/>
      <x:name val="Carlito"/>
    </x:font>
    <x:font>
      <x:b/>
      <x:sz val="16"/>
      <x:color rgb="FFFFFFFF"/>
      <x:name val="Carlito"/>
    </x:font>
    <x:font>
      <x:i/>
      <x:sz val="10"/>
      <x:color rgb="FF5B6F7C"/>
      <x:name val="Carlito"/>
    </x:font>
    <x:font>
      <x:b/>
      <x:sz val="10"/>
      <x:color rgb="FFFFFFFF"/>
      <x:name val="Carlito"/>
    </x:font>
    <x:font>
      <x:sz val="9"/>
      <x:color rgb="FF18303F"/>
      <x:name val="Carlito"/>
    </x:font>
    <x:font>
      <x:b/>
      <x:sz val="18"/>
      <x:color rgb="FFFFFFFF"/>
      <x:name val="Carlito"/>
    </x:font>
    <x:font>
      <x:b/>
      <x:sz val="11"/>
      <x:color rgb="FFFFFFFF"/>
      <x:name val="Carlito"/>
    </x:font>
    <x:font>
      <x:b/>
      <x:sz val="18"/>
      <x:color rgb="FF17324D"/>
      <x:name val="Carlito"/>
    </x:font>
    <x:font>
      <x:i/>
      <x:sz val="11"/>
      <x:color rgb="FF7C4A03"/>
      <x:name val="Carlito"/>
    </x:font>
    <x:font>
      <x:i/>
      <x:sz val="11"/>
      <x:color rgb="FF5B6F7C"/>
      <x:name val="Carlito"/>
    </x:font>
    <x:font>
      <x:sz val="11"/>
      <x:color rgb="FF12324A"/>
      <x:name val="Carlito"/>
    </x:font>
    <x:font>
      <x:sz val="11"/>
      <x:color rgb="FF2563EB"/>
      <x:name val="Carlito"/>
    </x:font>
    <x:font>
      <x:sz val="11"/>
      <x:color rgb="FFB91C1C"/>
      <x:name val="Carlito"/>
    </x:font>
    <x:font>
      <x:sz val="11"/>
      <x:color rgb="FF7A4E00"/>
      <x:name val="Carlito"/>
    </x:font>
    <x:font>
      <x:i/>
      <x:sz val="11"/>
      <x:color rgb="FF486878"/>
      <x:name val="Carlito"/>
    </x:font>
    <x:font>
      <x:b/>
      <x:sz val="17"/>
      <x:color rgb="FFFFFFFF"/>
      <x:name val="Carlito"/>
    </x:font>
    <x:font>
      <x:i/>
      <x:sz val="10"/>
      <x:color rgb="FF567080"/>
      <x:name val="Carlito"/>
    </x:font>
    <x:font>
      <x:sz val="10"/>
      <x:color rgb="FF23313D"/>
      <x:name val="Carlito"/>
    </x:font>
  </x:fonts>
  <x:fills count="23">
    <x:fill>
      <x:patternFill patternType="none"/>
    </x:fill>
    <x:fill>
      <x:patternFill patternType="gray125"/>
    </x:fill>
    <x:fill>
      <x:patternFill patternType="solid">
        <x:fgColor rgb="FF17324D"/>
      </x:patternFill>
    </x:fill>
    <x:fill>
      <x:patternFill patternType="solid">
        <x:fgColor rgb="FFEAF2F6"/>
      </x:patternFill>
    </x:fill>
    <x:fill>
      <x:patternFill patternType="solid">
        <x:fgColor rgb="FF2A7F7F"/>
      </x:patternFill>
    </x:fill>
    <x:fill>
      <x:patternFill patternType="solid">
        <x:fgColor rgb="FFF6F9FB"/>
      </x:patternFill>
    </x:fill>
    <x:fill>
      <x:patternFill patternType="solid">
        <x:fgColor rgb="FF245A7A"/>
      </x:patternFill>
    </x:fill>
    <x:fill>
      <x:patternFill patternType="solid">
        <x:fgColor rgb="FFFFF4D6"/>
      </x:patternFill>
    </x:fill>
    <x:fill>
      <x:patternFill patternType="solid">
        <x:fgColor rgb="FF0F766E"/>
      </x:patternFill>
    </x:fill>
    <x:fill>
      <x:patternFill patternType="solid">
        <x:fgColor rgb="FFD9EEF7"/>
      </x:patternFill>
    </x:fill>
    <x:fill>
      <x:patternFill patternType="solid">
        <x:fgColor rgb="FFF7FBFC"/>
      </x:patternFill>
    </x:fill>
    <x:fill>
      <x:patternFill patternType="solid">
        <x:fgColor rgb="FFFDE2E2"/>
      </x:patternFill>
    </x:fill>
    <x:fill>
      <x:patternFill patternType="solid">
        <x:fgColor rgb="FFFFF3CD"/>
      </x:patternFill>
    </x:fill>
    <x:fill>
      <x:patternFill patternType="solid">
        <x:fgColor rgb="FF12324A"/>
      </x:patternFill>
    </x:fill>
    <x:fill>
      <x:patternFill patternType="solid">
        <x:fgColor rgb="FFE8F1F5"/>
      </x:patternFill>
    </x:fill>
    <x:fill>
      <x:patternFill patternType="solid">
        <x:fgColor rgb="FFFDE7E7"/>
      </x:patternFill>
    </x:fill>
    <x:fill>
      <x:patternFill patternType="solid">
        <x:fgColor rgb="FFFFF3CD"/>
      </x:patternFill>
    </x:fill>
    <x:fill>
      <x:patternFill patternType="solid">
        <x:fgColor rgb="FF17324D"/>
      </x:patternFill>
    </x:fill>
    <x:fill>
      <x:patternFill patternType="solid">
        <x:fgColor rgb="FFEFF4F7"/>
      </x:patternFill>
    </x:fill>
    <x:fill>
      <x:patternFill patternType="solid">
        <x:fgColor rgb="FF17637A"/>
      </x:patternFill>
    </x:fill>
    <x:fill>
      <x:patternFill patternType="solid">
        <x:fgColor rgb="FF15827B"/>
      </x:patternFill>
    </x:fill>
    <x:fill>
      <x:patternFill patternType="solid">
        <x:fgColor rgb="FFDDF2FA"/>
      </x:patternFill>
    </x:fill>
    <x:fill>
      <x:patternFill patternType="solid">
        <x:fgColor rgb="FFFFFFFF"/>
      </x:patternFill>
    </x:fill>
  </x:fills>
  <x:borders count="25">
    <x:border/>
    <x:border>
      <x:left style="thin">
        <x:color rgb="FFC9D7DF"/>
      </x:left>
      <x:top style="thin">
        <x:color rgb="FFC9D7DF"/>
      </x:top>
      <x:bottom style="thin">
        <x:color rgb="FFC9D7DF"/>
      </x:bottom>
    </x:border>
    <x:border>
      <x:top style="thin">
        <x:color rgb="FFC9D7DF"/>
      </x:top>
      <x:bottom style="thin">
        <x:color rgb="FFC9D7DF"/>
      </x:bottom>
    </x:border>
    <x:border>
      <x:right style="thin">
        <x:color rgb="FFC9D7DF"/>
      </x:right>
      <x:top style="thin">
        <x:color rgb="FFC9D7DF"/>
      </x:top>
      <x:bottom style="thin">
        <x:color rgb="FFC9D7DF"/>
      </x:bottom>
    </x:border>
    <x:border>
      <x:right style="thin">
        <x:color rgb="FFE6EDF1"/>
      </x:right>
      <x:bottom style="thin">
        <x:color rgb="FFE6EDF1"/>
      </x:bottom>
    </x:border>
    <x:border>
      <x:left style="thin">
        <x:color rgb="FFE6EDF1"/>
      </x:left>
      <x:right style="thin">
        <x:color rgb="FFE6EDF1"/>
      </x:right>
      <x:bottom style="thin">
        <x:color rgb="FFE6EDF1"/>
      </x:bottom>
    </x:border>
    <x:border>
      <x:left style="thin">
        <x:color rgb="FFE6EDF1"/>
      </x:left>
      <x:bottom style="thin">
        <x:color rgb="FFE6EDF1"/>
      </x:bottom>
    </x:border>
    <x:border>
      <x:right style="thin">
        <x:color rgb="FFE6EDF1"/>
      </x:right>
      <x:top style="thin">
        <x:color rgb="FFE6EDF1"/>
      </x:top>
      <x:bottom style="thin">
        <x:color rgb="FFE6EDF1"/>
      </x:bottom>
    </x:border>
    <x:border>
      <x:left style="thin">
        <x:color rgb="FFE6EDF1"/>
      </x:left>
      <x:right style="thin">
        <x:color rgb="FFE6EDF1"/>
      </x:right>
      <x:top style="thin">
        <x:color rgb="FFE6EDF1"/>
      </x:top>
      <x:bottom style="thin">
        <x:color rgb="FFE6EDF1"/>
      </x:bottom>
    </x:border>
    <x:border>
      <x:left style="thin">
        <x:color rgb="FFE6EDF1"/>
      </x:left>
      <x:top style="thin">
        <x:color rgb="FFE6EDF1"/>
      </x:top>
      <x:bottom style="thin">
        <x:color rgb="FFE6EDF1"/>
      </x:bottom>
    </x:border>
    <x:border>
      <x:right style="thin">
        <x:color rgb="FFE6EDF1"/>
      </x:right>
      <x:top style="thin">
        <x:color rgb="FFE6EDF1"/>
      </x:top>
    </x:border>
    <x:border>
      <x:left style="thin">
        <x:color rgb="FFE6EDF1"/>
      </x:left>
      <x:right style="thin">
        <x:color rgb="FFE6EDF1"/>
      </x:right>
      <x:top style="thin">
        <x:color rgb="FFE6EDF1"/>
      </x:top>
    </x:border>
    <x:border>
      <x:left style="thin">
        <x:color rgb="FFE6EDF1"/>
      </x:left>
      <x:top style="thin">
        <x:color rgb="FFE6EDF1"/>
      </x:top>
    </x:border>
    <x:border>
      <x:right style="thin">
        <x:color rgb="FFC9D7DF"/>
      </x:right>
      <x:bottom style="thin">
        <x:color rgb="FFC9D7DF"/>
      </x:bottom>
    </x:border>
    <x:border>
      <x:left style="thin">
        <x:color rgb="FFC9D7DF"/>
      </x:left>
      <x:bottom style="thin">
        <x:color rgb="FFC9D7DF"/>
      </x:bottom>
    </x:border>
    <x:border>
      <x:right style="thin">
        <x:color rgb="FFC9D7DF"/>
      </x:right>
      <x:top style="thin">
        <x:color rgb="FFC9D7DF"/>
      </x:top>
    </x:border>
    <x:border>
      <x:left style="thin">
        <x:color rgb="FFC9D7DF"/>
      </x:left>
      <x:top style="thin">
        <x:color rgb="FFC9D7DF"/>
      </x:top>
    </x:border>
    <x:border>
      <x:left style="thin">
        <x:color rgb="FFC9D7DF"/>
      </x:left>
      <x:right style="thin">
        <x:color rgb="FFC9D7DF"/>
      </x:right>
      <x:bottom style="thin">
        <x:color rgb="FFC9D7DF"/>
      </x:bottom>
    </x:border>
    <x:border>
      <x:left style="thin">
        <x:color rgb="FFC9D7DF"/>
      </x:left>
      <x:right style="thin">
        <x:color rgb="FFC9D7DF"/>
      </x:right>
      <x:top style="thin">
        <x:color rgb="FFC9D7DF"/>
      </x:top>
      <x:bottom style="thin">
        <x:color rgb="FFC9D7DF"/>
      </x:bottom>
    </x:border>
    <x:border>
      <x:left style="thin">
        <x:color rgb="FFC9D7DF"/>
      </x:left>
      <x:right style="thin">
        <x:color rgb="FFC9D7DF"/>
      </x:right>
      <x:top style="thin">
        <x:color rgb="FFC9D7DF"/>
      </x:top>
    </x:border>
    <x:border>
      <x:left style="thin">
        <x:color rgb="FF17637A"/>
      </x:left>
      <x:top style="thin">
        <x:color rgb="FF17637A"/>
      </x:top>
      <x:bottom style="thin">
        <x:color rgb="FF17637A"/>
      </x:bottom>
    </x:border>
    <x:border>
      <x:top style="thin">
        <x:color rgb="FF17637A"/>
      </x:top>
      <x:bottom style="thin">
        <x:color rgb="FF17637A"/>
      </x:bottom>
    </x:border>
    <x:border>
      <x:right style="thin">
        <x:color rgb="FF17637A"/>
      </x:right>
      <x:top style="thin">
        <x:color rgb="FF17637A"/>
      </x:top>
      <x:bottom style="thin">
        <x:color rgb="FF17637A"/>
      </x:bottom>
    </x:border>
    <x:border>
      <x:bottom style="thin">
        <x:color rgb="FFBCD5DF"/>
      </x:bottom>
    </x:border>
    <x:border>
      <x:top style="thin">
        <x:color rgb="FFBCD5DF"/>
      </x:top>
      <x:bottom style="thin">
        <x:color rgb="FFBCD5DF"/>
      </x:bottom>
    </x:border>
  </x:borders>
  <x:cellStyleXfs count="1">
    <x:xf numFmtId="0" fontId="0" fillId="0" borderId="0"/>
  </x:cellStyleXfs>
  <x:cellXfs count="19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0" fontId="4" fillId="0" borderId="8" xfId="0" applyNumberFormat="1" applyFont="1" applyFill="1" applyBorder="1" applyAlignment="1">
      <x:alignment vertical="top" wrapText="1"/>
    </x:xf>
    <x:xf numFmtId="200" fontId="4" fillId="0" borderId="11" xfId="0" applyNumberFormat="1" applyFont="1" applyFill="1" applyBorder="1" applyAlignment="1">
      <x:alignment vertical="top" wrapText="1"/>
    </x:xf>
    <x:xf numFmtId="201" fontId="4" fillId="0" borderId="5" xfId="0" applyNumberFormat="1" applyFont="1" applyFill="1" applyBorder="1" applyAlignment="1">
      <x:alignment vertical="top" wrapText="1"/>
    </x:xf>
    <x:xf numFmtId="201" fontId="4" fillId="0" borderId="8" xfId="0" applyNumberFormat="1" applyFont="1" applyFill="1" applyBorder="1" applyAlignment="1">
      <x:alignment vertical="top" wrapText="1"/>
    </x:xf>
    <x:xf numFmtId="201" fontId="4" fillId="0" borderId="11" xfId="0" applyNumberFormat="1" applyFont="1" applyFill="1" applyBorder="1" applyAlignment="1">
      <x:alignment vertical="top" wrapText="1"/>
    </x:xf>
    <x:xf numFmtId="202" fontId="4" fillId="0" borderId="5" xfId="0" applyNumberFormat="1" applyFont="1" applyFill="1" applyBorder="1" applyAlignment="1">
      <x:alignment vertical="top" wrapText="1"/>
    </x:xf>
    <x:xf numFmtId="202" fontId="4" fillId="0" borderId="8" xfId="0" applyNumberFormat="1" applyFont="1" applyFill="1" applyBorder="1" applyAlignment="1">
      <x:alignment vertical="top" wrapText="1"/>
    </x:xf>
    <x:xf numFmtId="202" fontId="4" fillId="0" borderId="1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4" borderId="0" xfId="0" applyNumberFormat="1" applyFont="1" applyFill="1" applyBorder="1"/>
    <x:xf numFmtId="0" fontId="6" fillId="4" borderId="0" xfId="0" applyNumberFormat="1" applyFont="1" applyFill="1" applyBorder="1" applyAlignment="1">
      <x:alignment horizontal="center"/>
    </x:xf>
    <x:xf numFmtId="0" fontId="0" fillId="5" borderId="0" xfId="0" applyNumberFormat="1" applyFont="1" applyFill="1" applyBorder="1"/>
    <x:xf numFmtId="0" fontId="7" fillId="5" borderId="0" xfId="0" applyNumberFormat="1" applyFont="1" applyFill="1" applyBorder="1"/>
    <x:xf numFmtId="0" fontId="7" fillId="5" borderId="1"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1" xfId="0" applyNumberFormat="1" applyFont="1" applyFill="1" applyBorder="1" applyAlignment="1">
      <x:alignment horizontal="center"/>
    </x:xf>
    <x:xf numFmtId="0" fontId="7" fillId="5" borderId="2" xfId="0" applyNumberFormat="1" applyFont="1" applyFill="1" applyBorder="1" applyAlignment="1">
      <x:alignment horizontal="center"/>
    </x:xf>
    <x:xf numFmtId="0" fontId="7" fillId="5" borderId="3" xfId="0" applyNumberFormat="1" applyFont="1" applyFill="1" applyBorder="1" applyAlignment="1">
      <x:alignment horizontal="center"/>
    </x:xf>
    <x:xf numFmtId="201" fontId="7" fillId="5" borderId="1" xfId="0" applyNumberFormat="1" applyFont="1" applyFill="1" applyBorder="1" applyAlignment="1">
      <x:alignment horizontal="center"/>
    </x:xf>
    <x:xf numFmtId="201" fontId="7" fillId="5" borderId="2" xfId="0" applyNumberFormat="1" applyFont="1" applyFill="1" applyBorder="1" applyAlignment="1">
      <x:alignment horizontal="center"/>
    </x:xf>
    <x:xf numFmtId="201" fontId="7" fillId="5" borderId="3" xfId="0" applyNumberFormat="1" applyFont="1" applyFill="1" applyBorder="1" applyAlignment="1">
      <x:alignment horizontal="center"/>
    </x:xf>
    <x:xf numFmtId="0" fontId="0" fillId="6" borderId="0" xfId="0" applyNumberFormat="1" applyFont="1" applyFill="1" applyBorder="1"/>
    <x:xf numFmtId="0" fontId="6" fillId="6" borderId="0"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3" xfId="0" applyNumberFormat="1" applyFont="1" applyFill="1" applyBorder="1"/>
    <x:xf numFmtId="0" fontId="0" fillId="5" borderId="1" xfId="0" applyNumberFormat="1" applyFont="1" applyFill="1" applyBorder="1"/>
    <x:xf numFmtId="0" fontId="0" fillId="5" borderId="15" xfId="0" applyNumberFormat="1" applyFont="1" applyFill="1" applyBorder="1"/>
    <x:xf numFmtId="0" fontId="0" fillId="5" borderId="16" xfId="0" applyNumberFormat="1" applyFont="1" applyFill="1" applyBorder="1"/>
    <x:xf numFmtId="203" fontId="0" fillId="5" borderId="14" xfId="0" applyNumberFormat="1" applyFont="1" applyFill="1" applyBorder="1"/>
    <x:xf numFmtId="203" fontId="0" fillId="5" borderId="1" xfId="0" applyNumberFormat="1" applyFont="1" applyFill="1" applyBorder="1"/>
    <x:xf numFmtId="203" fontId="0" fillId="5" borderId="16" xfId="0" applyNumberFormat="1" applyFont="1" applyFill="1" applyBorder="1"/>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3"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13"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0" fillId="5" borderId="16"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9" fillId="3" borderId="0" xfId="0" applyNumberFormat="1" applyFont="1" applyFill="1" applyBorder="1"/>
    <x:xf numFmtId="0" fontId="9" fillId="3" borderId="0" xfId="0" applyNumberFormat="1" applyFont="1" applyFill="1" applyBorder="1" applyAlignment="1">
      <x:alignment wrapText="1"/>
    </x:xf>
    <x:xf numFmtId="0" fontId="0" fillId="0" borderId="13" xfId="0" applyNumberFormat="1" applyFont="1" applyFill="1" applyBorder="1"/>
    <x:xf numFmtId="0" fontId="0" fillId="0" borderId="17" xfId="0" applyNumberFormat="1" applyFont="1" applyFill="1" applyBorder="1"/>
    <x:xf numFmtId="0" fontId="0" fillId="0" borderId="14" xfId="0" applyNumberFormat="1" applyFont="1" applyFill="1" applyBorder="1"/>
    <x:xf numFmtId="0" fontId="0" fillId="0" borderId="3" xfId="0" applyNumberFormat="1" applyFont="1" applyFill="1" applyBorder="1"/>
    <x:xf numFmtId="0" fontId="0" fillId="0" borderId="18" xfId="0" applyNumberFormat="1" applyFont="1" applyFill="1" applyBorder="1"/>
    <x:xf numFmtId="0" fontId="0" fillId="0" borderId="1" xfId="0" applyNumberFormat="1" applyFont="1" applyFill="1" applyBorder="1"/>
    <x:xf numFmtId="0" fontId="0" fillId="0" borderId="15" xfId="0" applyNumberFormat="1" applyFont="1" applyFill="1" applyBorder="1"/>
    <x:xf numFmtId="0" fontId="0" fillId="0" borderId="19" xfId="0" applyNumberFormat="1" applyFont="1" applyFill="1" applyBorder="1"/>
    <x:xf numFmtId="0" fontId="0" fillId="0" borderId="16" xfId="0" applyNumberFormat="1" applyFont="1" applyFill="1" applyBorder="1"/>
    <x:xf numFmtId="0" fontId="0" fillId="0" borderId="13"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3"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4" borderId="13" xfId="0" applyNumberFormat="1" applyFont="1" applyFill="1" applyBorder="1" applyAlignment="1">
      <x:alignment vertical="top" wrapText="1"/>
    </x:xf>
    <x:xf numFmtId="0" fontId="0" fillId="4" borderId="17" xfId="0" applyNumberFormat="1" applyFont="1" applyFill="1" applyBorder="1" applyAlignment="1">
      <x:alignment vertical="top" wrapText="1"/>
    </x:xf>
    <x:xf numFmtId="0" fontId="0" fillId="4" borderId="14" xfId="0" applyNumberFormat="1" applyFont="1" applyFill="1" applyBorder="1" applyAlignment="1">
      <x:alignment vertical="top" wrapText="1"/>
    </x:xf>
    <x:xf numFmtId="0" fontId="6" fillId="4" borderId="13" xfId="0" applyNumberFormat="1" applyFont="1" applyFill="1" applyBorder="1" applyAlignment="1">
      <x:alignment vertical="top" wrapText="1"/>
    </x:xf>
    <x:xf numFmtId="0" fontId="6" fillId="4" borderId="17" xfId="0" applyNumberFormat="1" applyFont="1" applyFill="1" applyBorder="1" applyAlignment="1">
      <x:alignment vertical="top" wrapText="1"/>
    </x:xf>
    <x:xf numFmtId="0" fontId="6" fillId="4" borderId="14" xfId="0" applyNumberFormat="1" applyFont="1" applyFill="1" applyBorder="1" applyAlignment="1">
      <x:alignment vertical="top" wrapText="1"/>
    </x:xf>
    <x:xf numFmtId="0" fontId="0" fillId="6" borderId="13" xfId="0" applyNumberFormat="1" applyFont="1" applyFill="1" applyBorder="1" applyAlignment="1">
      <x:alignment wrapText="1"/>
    </x:xf>
    <x:xf numFmtId="0" fontId="0" fillId="6" borderId="14" xfId="0" applyNumberFormat="1" applyFont="1" applyFill="1" applyBorder="1" applyAlignment="1">
      <x:alignment wrapText="1"/>
    </x:xf>
    <x:xf numFmtId="0" fontId="6" fillId="6" borderId="13" xfId="0" applyNumberFormat="1" applyFont="1" applyFill="1" applyBorder="1" applyAlignment="1">
      <x:alignment wrapText="1"/>
    </x:xf>
    <x:xf numFmtId="0" fontId="6" fillId="6" borderId="14" xfId="0" applyNumberFormat="1" applyFont="1" applyFill="1" applyBorder="1" applyAlignment="1">
      <x:alignment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wrapText="1"/>
    </x:xf>
    <x:xf numFmtId="0" fontId="10" fillId="9" borderId="0" xfId="0" applyNumberFormat="1" applyFont="1" applyFill="1" applyBorder="1" applyAlignment="1">
      <x:alignment horizontal="center" wrapText="1"/>
    </x:xf>
    <x:xf numFmtId="0" fontId="10" fillId="9" borderId="0" xfId="0" applyNumberFormat="1" applyFont="1" applyFill="1" applyBorder="1" applyAlignment="1">
      <x:alignment horizontal="center" vertical="center" wrapText="1"/>
    </x:xf>
    <x:xf numFmtId="0" fontId="10" fillId="9" borderId="0" xfId="0" applyNumberFormat="1" applyFont="1" applyFill="1" applyBorder="1" applyAlignment="1">
      <x:alignment vertical="top" wrapText="1"/>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10" fillId="10" borderId="0" xfId="0" applyNumberFormat="1" applyFont="1" applyFill="1" applyBorder="1" applyAlignment="1">
      <x:alignment vertical="top" wrapText="1"/>
    </x:xf>
    <x:xf numFmtId="0" fontId="11" fillId="10" borderId="0" xfId="0" applyNumberFormat="1" applyFont="1" applyFill="1" applyBorder="1" applyAlignment="1">
      <x:alignment vertical="top" wrapText="1"/>
    </x:xf>
    <x:xf numFmtId="0" fontId="0" fillId="11" borderId="0" xfId="0" applyNumberFormat="1" applyFont="1" applyFill="1" applyBorder="1"/>
    <x:xf numFmtId="0" fontId="12" fillId="11" borderId="0" xfId="0" applyNumberFormat="1" applyFont="1" applyFill="1" applyBorder="1"/>
    <x:xf numFmtId="0" fontId="0" fillId="12" borderId="0" xfId="0" applyNumberFormat="1" applyFont="1" applyFill="1" applyBorder="1"/>
    <x:xf numFmtId="0" fontId="13" fillId="12" borderId="0" xfId="0" applyNumberFormat="1" applyFont="1" applyFill="1" applyBorder="1"/>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vertical="center"/>
    </x:xf>
    <x:xf numFmtId="0" fontId="0" fillId="14" borderId="0" xfId="0" applyNumberFormat="1" applyFont="1" applyFill="1" applyBorder="1"/>
    <x:xf numFmtId="0" fontId="14" fillId="14" borderId="0" xfId="0" applyNumberFormat="1" applyFont="1" applyFill="1" applyBorder="1"/>
    <x:xf numFmtId="0" fontId="14" fillId="14" borderId="0" xfId="0" applyNumberFormat="1" applyFont="1" applyFill="1" applyBorder="1" applyAlignment="1">
      <x:alignment wrapText="1"/>
    </x:xf>
    <x:xf numFmtId="0" fontId="14" fillId="1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15" borderId="0" xfId="0" applyNumberFormat="1" applyFont="1" applyFill="1" applyBorder="1"/>
    <x:xf numFmtId="0" fontId="0" fillId="16" borderId="0" xfId="0" applyNumberFormat="1" applyFont="1" applyFill="1" applyBorder="1"/>
    <x:xf numFmtId="0" fontId="0" fillId="17" borderId="0" xfId="0" applyNumberFormat="1" applyFont="1" applyFill="1" applyBorder="1"/>
    <x:xf numFmtId="0" fontId="15" fillId="17" borderId="0" xfId="0" applyNumberFormat="1" applyFont="1" applyFill="1" applyBorder="1"/>
    <x:xf numFmtId="0" fontId="15" fillId="17" borderId="0" xfId="0" applyNumberFormat="1" applyFont="1" applyFill="1" applyBorder="1" applyAlignment="1">
      <x:alignment vertical="center"/>
    </x:xf>
    <x:xf numFmtId="0" fontId="0" fillId="18" borderId="0" xfId="0" applyNumberFormat="1" applyFont="1" applyFill="1" applyBorder="1"/>
    <x:xf numFmtId="0" fontId="16" fillId="18" borderId="0" xfId="0" applyNumberFormat="1" applyFont="1" applyFill="1" applyBorder="1"/>
    <x:xf numFmtId="0" fontId="16" fillId="18" borderId="0" xfId="0" applyNumberFormat="1" applyFont="1" applyFill="1" applyBorder="1" applyAlignment="1">
      <x:alignment wrapText="1"/>
    </x:xf>
    <x:xf numFmtId="0" fontId="16" fillId="18" borderId="0" xfId="0" applyNumberFormat="1" applyFont="1" applyFill="1" applyBorder="1" applyAlignment="1">
      <x:alignment vertical="center" wrapText="1"/>
    </x:xf>
    <x:xf numFmtId="0" fontId="0" fillId="19" borderId="0" xfId="0" applyNumberFormat="1" applyFont="1" applyFill="1" applyBorder="1"/>
    <x:xf numFmtId="0" fontId="3" fillId="19" borderId="0" xfId="0" applyNumberFormat="1" applyFont="1" applyFill="1" applyBorder="1"/>
    <x:xf numFmtId="0" fontId="3" fillId="19" borderId="20" xfId="0" applyNumberFormat="1" applyFont="1" applyFill="1" applyBorder="1"/>
    <x:xf numFmtId="0" fontId="3" fillId="19" borderId="21" xfId="0" applyNumberFormat="1" applyFont="1" applyFill="1" applyBorder="1"/>
    <x:xf numFmtId="0" fontId="3" fillId="19" borderId="22" xfId="0" applyNumberFormat="1" applyFont="1" applyFill="1" applyBorder="1"/>
    <x:xf numFmtId="0" fontId="3" fillId="19" borderId="20" xfId="0" applyNumberFormat="1" applyFont="1" applyFill="1" applyBorder="1" applyAlignment="1">
      <x:alignment wrapText="1"/>
    </x:xf>
    <x:xf numFmtId="0" fontId="3" fillId="19" borderId="21" xfId="0" applyNumberFormat="1" applyFont="1" applyFill="1" applyBorder="1" applyAlignment="1">
      <x:alignment wrapText="1"/>
    </x:xf>
    <x:xf numFmtId="0" fontId="3" fillId="19" borderId="22" xfId="0" applyNumberFormat="1" applyFont="1" applyFill="1" applyBorder="1" applyAlignment="1">
      <x:alignment wrapText="1"/>
    </x:xf>
    <x:xf numFmtId="0" fontId="3" fillId="19" borderId="20" xfId="0" applyNumberFormat="1" applyFont="1" applyFill="1" applyBorder="1" applyAlignment="1">
      <x:alignment vertical="center" wrapText="1"/>
    </x:xf>
    <x:xf numFmtId="0" fontId="3" fillId="19" borderId="21" xfId="0" applyNumberFormat="1" applyFont="1" applyFill="1" applyBorder="1" applyAlignment="1">
      <x:alignment vertical="center" wrapText="1"/>
    </x:xf>
    <x:xf numFmtId="0" fontId="3" fillId="19" borderId="22" xfId="0" applyNumberFormat="1" applyFont="1" applyFill="1" applyBorder="1" applyAlignment="1">
      <x:alignment vertical="center"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0" xfId="0" applyNumberFormat="1" applyFont="1" applyFill="1" applyBorder="1" applyAlignment="1">
      <x:alignment vertical="center"/>
    </x:xf>
    <x:xf numFmtId="0" fontId="0" fillId="21" borderId="0" xfId="0" applyNumberFormat="1" applyFont="1" applyFill="1" applyBorder="1"/>
    <x:xf numFmtId="0" fontId="17" fillId="21" borderId="0" xfId="0" applyNumberFormat="1" applyFont="1" applyFill="1" applyBorder="1"/>
    <x:xf numFmtId="0" fontId="17" fillId="21" borderId="23" xfId="0" applyNumberFormat="1" applyFont="1" applyFill="1" applyBorder="1"/>
    <x:xf numFmtId="0" fontId="17" fillId="21" borderId="23" xfId="0" applyNumberFormat="1" applyFont="1" applyFill="1" applyBorder="1" applyAlignment="1">
      <x:alignment vertical="center"/>
    </x:xf>
    <x:xf numFmtId="0" fontId="0" fillId="22" borderId="0" xfId="0" applyNumberFormat="1" applyFont="1" applyFill="1" applyBorder="1"/>
    <x:xf numFmtId="0" fontId="17" fillId="22" borderId="0" xfId="0" applyNumberFormat="1" applyFont="1" applyFill="1" applyBorder="1"/>
    <x:xf numFmtId="0" fontId="17" fillId="22" borderId="23" xfId="0" applyNumberFormat="1" applyFont="1" applyFill="1" applyBorder="1"/>
    <x:xf numFmtId="0" fontId="17" fillId="22" borderId="23" xfId="0" applyNumberFormat="1" applyFont="1" applyFill="1" applyBorder="1" applyAlignment="1">
      <x:alignment vertical="center"/>
    </x:xf>
  </x:cellXfs>
  <x:cellStyles count="1">
    <x:cellStyle name="Normal" xfId="0"/>
  </x:cellStyles>
  <x:dxfs count="8">
    <x:dxf>
      <x:font>
        <x:color rgb="FF1D4ED8"/>
      </x:font>
      <x:fill>
        <x:patternFill>
          <x:bgColor rgb="FFE8F1FB"/>
        </x:patternFill>
      </x:fill>
    </x:dxf>
    <x:dxf>
      <x:font>
        <x:color rgb="FF166534"/>
      </x:font>
      <x:fill>
        <x:patternFill>
          <x:bgColor rgb="FFE5F5EC"/>
        </x:patternFill>
      </x:fill>
    </x:dxf>
    <x:dxf>
      <x:font>
        <x:b/>
        <x:color rgb="FF166534"/>
      </x:font>
      <x:fill>
        <x:patternFill>
          <x:bgColor rgb="FFE5F5EC"/>
        </x:patternFill>
      </x:fill>
    </x:dxf>
    <x:dxf>
      <x:font>
        <x:color rgb="FF92400E"/>
      </x:font>
      <x:fill>
        <x:patternFill>
          <x:bgColor rgb="FFFFF4D6"/>
        </x:patternFill>
      </x:fill>
    </x:dxf>
    <x:dxf>
      <x:font>
        <x:b/>
        <x:color rgb="FFB91C1C"/>
      </x:font>
      <x:fill>
        <x:patternFill>
          <x:bgColor rgb="FFFDE8E7"/>
        </x:patternFill>
      </x:fill>
    </x:dxf>
    <x:dxf>
      <x:font>
        <x:color rgb="FF92400E"/>
      </x:font>
      <x:fill>
        <x:patternFill>
          <x:bgColor rgb="FFFFF4D6"/>
        </x:patternFill>
      </x:fill>
    </x:dxf>
    <x:dxf>
      <x:font>
        <x:b/>
        <x:color rgb="FFB91C1C"/>
      </x:font>
      <x:fill>
        <x:patternFill>
          <x:bgColor rgb="FFFDE8E7"/>
        </x:patternFill>
      </x:fill>
    </x:dxf>
    <x:dxf>
      <x:font>
        <x:color rgb="FF92400E"/>
      </x:font>
      <x:fill>
        <x:patternFill>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bc5ef785314218" /><Relationship Type="http://schemas.openxmlformats.org/officeDocument/2006/relationships/theme" Target="/xl/theme/theme1.xml" Id="R83e481174db74d59" /><Relationship Type="http://schemas.openxmlformats.org/officeDocument/2006/relationships/sharedStrings" Target="/xl/sharedStrings.xml" Id="R1a82791fdae245ee" /><Relationship Type="http://schemas.openxmlformats.org/officeDocument/2006/relationships/worksheet" Target="/xl/worksheets/sheet1.xml" Id="Rf420cc29781b431c" /><Relationship Type="http://schemas.openxmlformats.org/officeDocument/2006/relationships/worksheet" Target="/xl/worksheets/sheet2.xml" Id="Re6079c8b216d484c" /><Relationship Type="http://schemas.openxmlformats.org/officeDocument/2006/relationships/worksheet" Target="/xl/worksheets/sheet3.xml" Id="R44e29738f0524674" /><Relationship Type="http://schemas.openxmlformats.org/officeDocument/2006/relationships/worksheet" Target="/xl/worksheets/sheet4.xml" Id="R2d974556da284562" /><Relationship Type="http://schemas.openxmlformats.org/officeDocument/2006/relationships/worksheet" Target="/xl/worksheets/sheet5.xml" Id="Rcdcd91b7b6f44545" /><Relationship Type="http://schemas.openxmlformats.org/officeDocument/2006/relationships/worksheet" Target="/xl/worksheets/sheet6.xml" Id="R913c557c983249ba" /><Relationship Type="http://schemas.openxmlformats.org/officeDocument/2006/relationships/worksheet" Target="/xl/worksheets/sheet7.xml" Id="R3f00d3a5ac534ea3" /><Relationship Type="http://schemas.openxmlformats.org/officeDocument/2006/relationships/worksheet" Target="/xl/worksheets/sheet8.xml" Id="R5399205f34ae44a3" /><Relationship Type="http://schemas.openxmlformats.org/officeDocument/2006/relationships/worksheet" Target="/xl/worksheets/sheet9.xml" Id="R9db40d05b2ea4bc4" /><Relationship Type="http://schemas.openxmlformats.org/officeDocument/2006/relationships/worksheet" Target="/xl/worksheets/sheet10.xml" Id="Rdf1c3db98d944de3" /><Relationship Type="http://schemas.openxmlformats.org/officeDocument/2006/relationships/worksheet" Target="/xl/worksheets/sheet11.xml" Id="R479febf9f4664588" /></Relationships>
</file>

<file path=xl/tables/table1.xml><?xml version="1.0" encoding="utf-8"?>
<x:table xmlns:x="http://schemas.openxmlformats.org/spreadsheetml/2006/main" id="1" name="PapersTable" displayName="PapersTable" ref="A4:Y104" headerRowCount="1" totalsRowCount="0" totalsRowShown="0">
  <x:autoFilter ref="A4:Y104"/>
  <x:tableColumns count="25">
    <x:tableColumn id="1" name="ID"/>
    <x:tableColumn id="2" name="Sample Type"/>
    <x:tableColumn id="3" name="Journal"/>
    <x:tableColumn id="4" name="Domain"/>
    <x:tableColumn id="5" name="Title"/>
    <x:tableColumn id="6" name="Authors"/>
    <x:tableColumn id="7" name="Year"/>
    <x:tableColumn id="8" name="DOI"/>
    <x:tableColumn id="9" name="Citations"/>
    <x:tableColumn id="10" name="Cites 2024-26"/>
    <x:tableColumn id="11" name="Hot Score"/>
    <x:tableColumn id="12" name="Snapshot"/>
    <x:tableColumn id="13" name="Primary Topic"/>
    <x:tableColumn id="14" name="Paradigm"/>
    <x:tableColumn id="15" name="Method Family"/>
    <x:tableColumn id="16" name="Method Evidence"/>
    <x:tableColumn id="17" name="Data Type"/>
    <x:tableColumn id="18" name="Data Evidence"/>
    <x:tableColumn id="19" name="Inferred Flow"/>
    <x:tableColumn id="20" name="Framework Summary"/>
    <x:tableColumn id="21" name="Evidence Level"/>
    <x:tableColumn id="22" name="Review Status"/>
    <x:tableColumn id="23" name="Source URL"/>
    <x:tableColumn id="24" name="OpenAlex ID"/>
    <x:tableColumn id="25" name="Abstract Excerpt"/>
  </x:tableColumns>
  <x:tableStyleInfo name="TableStyleMedium2" showFirstColumn="0" showLastColumn="0" showRowStripes="1" showColumnStripes="0"/>
</x:table>
</file>

<file path=xl/tables/table2.xml><?xml version="1.0" encoding="utf-8"?>
<x:table xmlns:x="http://schemas.openxmlformats.org/spreadsheetml/2006/main" id="2" name="MethodsTable" displayName="MethodsTable" ref="A4:M32" headerRowCount="1" totalsRowCount="0" totalsRowShown="0">
  <x:autoFilter ref="A4:M32"/>
  <x:tableColumns count="13">
    <x:tableColumn id="1" name="ID"/>
    <x:tableColumn id="2" name="Family"/>
    <x:tableColumn id="3" name="Method"/>
    <x:tableColumn id="4" name="Lane"/>
    <x:tableColumn id="5" name="Goal"/>
    <x:tableColumn id="6" name="Minimum Data"/>
    <x:tableColumn id="7" name="Assumptions"/>
    <x:tableColumn id="8" name="Workflow"/>
    <x:tableColumn id="9" name="Diagnostics"/>
    <x:tableColumn id="10" name="Robustness"/>
    <x:tableColumn id="11" name="Packages"/>
    <x:tableColumn id="12" name="Formula IDs"/>
    <x:tableColumn id="13" name="Common Failure"/>
  </x:tableColumns>
  <x:tableStyleInfo name="TableStyleMedium2" showFirstColumn="0" showLastColumn="0" showRowStripes="1" showColumnStripes="0"/>
</x:table>
</file>

<file path=xl/tables/table3.xml><?xml version="1.0" encoding="utf-8"?>
<x:table xmlns:x="http://schemas.openxmlformats.org/spreadsheetml/2006/main" id="3" name="DataSourcesTable" displayName="DataSourcesTable" ref="A4:L44" headerRowCount="1" totalsRowCount="0" totalsRowShown="0">
  <x:autoFilter ref="A4:L44"/>
  <x:tableColumns count="12">
    <x:tableColumn id="1" name="ID"/>
    <x:tableColumn id="2" name="Domain"/>
    <x:tableColumn id="3" name="Source"/>
    <x:tableColumn id="4" name="Geography"/>
    <x:tableColumn id="5" name="Access"/>
    <x:tableColumn id="6" name="Cost"/>
    <x:tableColumn id="7" name="Interface"/>
    <x:tableColumn id="8" name="Typical Data"/>
    <x:tableColumn id="9" name="Common Use"/>
    <x:tableColumn id="10" name="Compliance"/>
    <x:tableColumn id="11" name="Official URL"/>
    <x:tableColumn id="12" name="Connector Priority"/>
  </x:tableColumns>
  <x:tableStyleInfo name="TableStyleMedium2" showFirstColumn="0" showLastColumn="0" showRowStripes="1" showColumnStripes="0"/>
</x:table>
</file>

<file path=xl/tables/table4.xml><?xml version="1.0" encoding="utf-8"?>
<x:table xmlns:x="http://schemas.openxmlformats.org/spreadsheetml/2006/main" id="4" name="FormulasTable" displayName="FormulasTable" ref="A4:J51" headerRowCount="1" totalsRowCount="0" totalsRowShown="0">
  <x:autoFilter ref="A4:J51"/>
  <x:tableColumns count="10">
    <x:tableColumn id="1" name="ID"/>
    <x:tableColumn id="2" name="Category"/>
    <x:tableColumn id="3" name="Name"/>
    <x:tableColumn id="4" name="LaTeX Formula"/>
    <x:tableColumn id="5" name="Use When"/>
    <x:tableColumn id="6" name="Notation"/>
    <x:tableColumn id="7" name="Assumptions"/>
    <x:tableColumn id="8" name="Diagnostics"/>
    <x:tableColumn id="9" name="Packages"/>
    <x:tableColumn id="10" name="Warning"/>
  </x:tableColumns>
  <x:tableStyleInfo name="TableStyleMedium2" showFirstColumn="0" showLastColumn="0" showRowStripes="1" showColumnStripes="0"/>
</x:table>
</file>

<file path=xl/tables/table5.xml><?xml version="1.0" encoding="utf-8"?>
<x:table xmlns:x="http://schemas.openxmlformats.org/spreadsheetml/2006/main" id="5" name="BacklogTable" displayName="BacklogTable" ref="A4:J84" headerRowCount="1" totalsRowCount="0" totalsRowShown="0">
  <x:autoFilter ref="A4:J84"/>
  <x:tableColumns count="10">
    <x:tableColumn id="1" name="ID"/>
    <x:tableColumn id="2" name="Epic"/>
    <x:tableColumn id="3" name="Title"/>
    <x:tableColumn id="4" name="Priority"/>
    <x:tableColumn id="5" name="Phase"/>
    <x:tableColumn id="6" name="Estimate Days"/>
    <x:tableColumn id="7" name="Depends On"/>
    <x:tableColumn id="8" name="Acceptance Test"/>
    <x:tableColumn id="9" name="Owner Role"/>
    <x:tableColumn id="10" name="Status"/>
  </x:tableColumns>
  <x:tableStyleInfo name="TableStyleMedium2" showFirstColumn="0" showLastColumn="0" showRowStripes="1" showColumnStripes="0"/>
</x:table>
</file>

<file path=xl/tables/table6.xml><?xml version="1.0" encoding="utf-8"?>
<x:table xmlns:x="http://schemas.openxmlformats.org/spreadsheetml/2006/main" id="6" name="RisksTable" displayName="RisksTable" ref="A4:I19" headerRowCount="1" totalsRowCount="0" totalsRowShown="0">
  <x:autoFilter ref="A4:I19"/>
  <x:tableColumns count="9">
    <x:tableColumn id="1" name="ID"/>
    <x:tableColumn id="2" name="Category"/>
    <x:tableColumn id="3" name="Risk"/>
    <x:tableColumn id="4" name="Probability"/>
    <x:tableColumn id="5" name="Impact"/>
    <x:tableColumn id="6" name="Early Signal"/>
    <x:tableColumn id="7" name="Mitigation"/>
    <x:tableColumn id="8" name="Owner"/>
    <x:tableColumn id="9" name="Target Phase"/>
  </x:tableColumns>
  <x:tableStyleInfo name="TableStyleMedium2" showFirstColumn="0" showLastColumn="0" showRowStripes="1" showColumnStripes="0"/>
</x:table>
</file>

<file path=xl/tables/table7.xml><?xml version="1.0" encoding="utf-8"?>
<x:table xmlns:x="http://schemas.openxmlformats.org/spreadsheetml/2006/main" id="7" name="TopicScoutWorkflow" displayName="TopicScoutWorkflow" ref="A4:H10" headerRowCount="1" totalsRowCount="0" totalsRowShown="0">
  <x:tableColumns count="8">
    <x:tableColumn id="1" name="Stage"/>
    <x:tableColumn id="2" name="What researcher does"/>
    <x:tableColumn id="3" name="What AI assists"/>
    <x:tableColumn id="4" name="Main output"/>
    <x:tableColumn id="5" name="Human gate"/>
    <x:tableColumn id="6" name="Evidence rule"/>
    <x:tableColumn id="7" name="MVP"/>
    <x:tableColumn id="8" name="Acceptance"/>
  </x:tableColumns>
  <x:tableStyleInfo name="TableStyleMedium2" showFirstColumn="0" showLastColumn="0" showRowStripes="1" showColumnStripes="0"/>
</x:table>
</file>

<file path=xl/tables/table8.xml><?xml version="1.0" encoding="utf-8"?>
<x:table xmlns:x="http://schemas.openxmlformats.org/spreadsheetml/2006/main" id="8" name="TopicScoutReport" displayName="TopicScoutReport" ref="A13:H22" headerRowCount="1" totalsRowCount="0" totalsRowShown="0">
  <x:tableColumns count="8">
    <x:tableColumn id="1" name="Report section"/>
    <x:tableColumn id="2" name="Question answered"/>
    <x:tableColumn id="3" name="Main evidence"/>
    <x:tableColumn id="4" name="System output"/>
    <x:tableColumn id="5" name="Human action"/>
    <x:tableColumn id="6" name="Hard boundary"/>
    <x:tableColumn id="7" name="MVP"/>
    <x:tableColumn id="8" name="Owner"/>
  </x:tableColumns>
  <x:tableStyleInfo name="TableStyleMedium2" showFirstColumn="0" showLastColumn="0" showRowStripes="1" showColumnStripes="0"/>
</x:table>
</file>

<file path=xl/tables/table9.xml><?xml version="1.0" encoding="utf-8"?>
<x:table xmlns:x="http://schemas.openxmlformats.org/spreadsheetml/2006/main" id="9" name="TopicScoutAcceptance" displayName="TopicScoutAcceptance" ref="A25:H35" headerRowCount="1" totalsRowCount="0" totalsRowShown="0">
  <x:tableColumns count="8">
    <x:tableColumn id="1" name="ID"/>
    <x:tableColumn id="2" name="Acceptance focus"/>
    <x:tableColumn id="3" name="Test input"/>
    <x:tableColumn id="4" name="Pass condition"/>
    <x:tableColumn id="5" name="Target"/>
    <x:tableColumn id="6" name="Owner"/>
    <x:tableColumn id="7" name="Gate"/>
    <x:tableColumn id="8" name="MVP"/>
  </x:tableColumns>
  <x:tableStyleInfo name="TableStyleMedium2" showFirstColumn="0" showLastColumn="0" showRowStripes="1" showColumnStripes="0"/>
</x:table>
</file>

<file path=xl/tables/table10.xml><?xml version="1.0" encoding="utf-8"?>
<x:table xmlns:x="http://schemas.openxmlformats.org/spreadsheetml/2006/main" id="10" name="StageAgentTable" displayName="StageAgentTable" ref="A4:H14" headerRowCount="1" totalsRowCount="0" totalsRowShown="0">
  <x:autoFilter ref="A4:H14"/>
  <x:tableColumns count="8">
    <x:tableColumn id="1" name="Stage"/>
    <x:tableColumn id="2" name="Principal Agent"/>
    <x:tableColumn id="3" name="Agent Delivers"/>
    <x:tableColumn id="4" name="Human Controls"/>
    <x:tableColumn id="5" name="Editable Asset"/>
    <x:tableColumn id="6" name="Gate / Check"/>
    <x:tableColumn id="7" name="Hard Boundary"/>
    <x:tableColumn id="8" name="Exit Condition"/>
  </x:tableColumns>
  <x:tableStyleInfo name="TableStyleMedium2" showFirstColumn="0" showLastColumn="0" showRowStripes="1" showColumnStripes="0"/>
</x:table>
</file>

<file path=xl/tables/table11.xml><?xml version="1.0" encoding="utf-8"?>
<x:table xmlns:x="http://schemas.openxmlformats.org/spreadsheetml/2006/main" id="11" name="ApprovalGateTable" displayName="ApprovalGateTable" ref="A17:H23" headerRowCount="1" totalsRowCount="0" totalsRowShown="0">
  <x:autoFilter ref="A17:H23"/>
  <x:tableColumns count="8">
    <x:tableColumn id="1" name="Gate"/>
    <x:tableColumn id="2" name="Approval Package"/>
    <x:tableColumn id="3" name="Default Reviewer"/>
    <x:tableColumn id="4" name="User May Edit"/>
    <x:tableColumn id="5" name="Unlocks"/>
    <x:tableColumn id="6" name="Invalidated By"/>
    <x:tableColumn id="7" name="AI Limit"/>
    <x:tableColumn id="8" name="Evidence Test"/>
  </x:tableColumns>
  <x:tableStyleInfo name="TableStyleMedium2" showFirstColumn="0" showLastColumn="0" showRowStripes="1" showColumnStripes="0"/>
</x:table>
</file>

<file path=xl/tables/table12.xml><?xml version="1.0" encoding="utf-8"?>
<x:table xmlns:x="http://schemas.openxmlformats.org/spreadsheetml/2006/main" id="12" name="InvalidationTable" displayName="InvalidationTable" ref="A26:H33" headerRowCount="1" totalsRowCount="0" totalsRowShown="0">
  <x:autoFilter ref="A26:H33"/>
  <x:tableColumns count="8">
    <x:tableColumn id="1" name="Change Scope"/>
    <x:tableColumn id="2" name="Invalid Gates"/>
    <x:tableColumn id="3" name="Revision Behavior"/>
    <x:tableColumn id="4" name="Impact Preview"/>
    <x:tableColumn id="5" name="Old Decision Kept"/>
    <x:tableColumn id="6" name="Rerun?"/>
    <x:tableColumn id="7" name="Human Action"/>
    <x:tableColumn id="8" name="Acceptance"/>
  </x:tableColumns>
  <x:tableStyleInfo name="TableStyleMedium2" showFirstColumn="0" showLastColumn="0" showRowStripes="1" showColumnStripes="0"/>
</x:table>
</file>

<file path=xl/tables/table13.xml><?xml version="1.0" encoding="utf-8"?>
<x:table xmlns:x="http://schemas.openxmlformats.org/spreadsheetml/2006/main" id="13" name="StataWorkflowTable" displayName="StataWorkflowTable" ref="A4:H10" headerRowCount="1" totalsRowCount="0" totalsRowShown="0">
  <x:autoFilter ref="A4:H10"/>
  <x:tableColumns count="8">
    <x:tableColumn id="1" name="Workbench Area"/>
    <x:tableColumn id="2" name="AI Assists"/>
    <x:tableColumn id="3" name="Human Action"/>
    <x:tableColumn id="4" name="Gate / Status"/>
    <x:tableColumn id="5" name="Main Output"/>
    <x:tableColumn id="6" name="Mandatory Record"/>
    <x:tableColumn id="7" name="Block Condition"/>
    <x:tableColumn id="8" name="Acceptance"/>
  </x:tableColumns>
  <x:tableStyleInfo name="TableStyleMedium2" showFirstColumn="0" showLastColumn="0" showRowStripes="1" showColumnStripes="0"/>
</x:table>
</file>

<file path=xl/tables/table14.xml><?xml version="1.0" encoding="utf-8"?>
<x:table xmlns:x="http://schemas.openxmlformats.org/spreadsheetml/2006/main" id="14" name="StataTemplateTable" displayName="StataTemplateTable" ref="A13:H17" headerRowCount="1" totalsRowCount="0" totalsRowShown="0">
  <x:autoFilter ref="A13:H17"/>
  <x:tableColumns count="8">
    <x:tableColumn id="1" name="Template"/>
    <x:tableColumn id="2" name="Phase"/>
    <x:tableColumn id="3" name="Main Command / Task"/>
    <x:tableColumn id="4" name="Required Checks"/>
    <x:tableColumn id="5" name="Data Need"/>
    <x:tableColumn id="6" name="Output"/>
    <x:tableColumn id="7" name="Evidence Use"/>
    <x:tableColumn id="8" name="Acceptance"/>
  </x:tableColumns>
  <x:tableStyleInfo name="TableStyleMedium2" showFirstColumn="0" showLastColumn="0" showRowStripes="1" showColumnStripes="0"/>
</x:table>
</file>

<file path=xl/tables/table15.xml><?xml version="1.0" encoding="utf-8"?>
<x:table xmlns:x="http://schemas.openxmlformats.org/spreadsheetml/2006/main" id="15" name="StataControlTable" displayName="StataControlTable" ref="A20:H27" headerRowCount="1" totalsRowCount="0" totalsRowShown="0">
  <x:autoFilter ref="A20:H27"/>
  <x:tableColumns count="8">
    <x:tableColumn id="1" name="Control"/>
    <x:tableColumn id="2" name="Preflight Check"/>
    <x:tableColumn id="3" name="Human Decision"/>
    <x:tableColumn id="4" name="Block Condition"/>
    <x:tableColumn id="5" name="Recorded Proof"/>
    <x:tableColumn id="6" name="Owner"/>
    <x:tableColumn id="7" name="Acceptance"/>
    <x:tableColumn id="8" name="Pha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c805d353367463a" /></Relationships>
</file>

<file path=xl/worksheets/_rels/sheet4.xml.rels>&#65279;<?xml version="1.0" encoding="utf-8"?><Relationships xmlns="http://schemas.openxmlformats.org/package/2006/relationships"><Relationship Type="http://schemas.openxmlformats.org/officeDocument/2006/relationships/table" Target="/xl/tables/table2.xml" Id="R282d25c3b3954530" /></Relationships>
</file>

<file path=xl/worksheets/_rels/sheet5.xml.rels>&#65279;<?xml version="1.0" encoding="utf-8"?><Relationships xmlns="http://schemas.openxmlformats.org/package/2006/relationships"><Relationship Type="http://schemas.openxmlformats.org/officeDocument/2006/relationships/table" Target="/xl/tables/table3.xml" Id="R28c3aa2255c24f3e" /></Relationships>
</file>

<file path=xl/worksheets/_rels/sheet6.xml.rels>&#65279;<?xml version="1.0" encoding="utf-8"?><Relationships xmlns="http://schemas.openxmlformats.org/package/2006/relationships"><Relationship Type="http://schemas.openxmlformats.org/officeDocument/2006/relationships/table" Target="/xl/tables/table4.xml" Id="Rd2b046166ba840c7" /></Relationships>
</file>

<file path=xl/worksheets/_rels/sheet7.xml.rels>&#65279;<?xml version="1.0" encoding="utf-8"?><Relationships xmlns="http://schemas.openxmlformats.org/package/2006/relationships"><Relationship Type="http://schemas.openxmlformats.org/officeDocument/2006/relationships/table" Target="/xl/tables/table5.xml" Id="Rb67b2051501f493b" /></Relationships>
</file>

<file path=xl/worksheets/_rels/sheet8.xml.rels>&#65279;<?xml version="1.0" encoding="utf-8"?><Relationships xmlns="http://schemas.openxmlformats.org/package/2006/relationships"><Relationship Type="http://schemas.openxmlformats.org/officeDocument/2006/relationships/table" Target="/xl/tables/table6.xml" Id="R22e84d2a96314e7f" /></Relationships>
</file>

<file path=xl/worksheets/_rels/sheet9.xml.rels>&#65279;<?xml version="1.0" encoding="utf-8"?><Relationships xmlns="http://schemas.openxmlformats.org/package/2006/relationships"><Relationship Type="http://schemas.openxmlformats.org/officeDocument/2006/relationships/table" Target="/xl/tables/table7.xml" Id="R6be2cc41aa5d4259" /><Relationship Type="http://schemas.openxmlformats.org/officeDocument/2006/relationships/table" Target="/xl/tables/table8.xml" Id="Rd63ab2645b46408f" /><Relationship Type="http://schemas.openxmlformats.org/officeDocument/2006/relationships/table" Target="/xl/tables/table9.xml" Id="R2e6a25d8c7a34499" /></Relationships>
</file>

<file path=xl/worksheets/_rels/sheet10.xml.rels>&#65279;<?xml version="1.0" encoding="utf-8"?><Relationships xmlns="http://schemas.openxmlformats.org/package/2006/relationships"><Relationship Type="http://schemas.openxmlformats.org/officeDocument/2006/relationships/table" Target="/xl/tables/table10.xml" Id="R92347c10d31945ed" /><Relationship Type="http://schemas.openxmlformats.org/officeDocument/2006/relationships/table" Target="/xl/tables/table11.xml" Id="Rfbf5b0f46ad443e9" /><Relationship Type="http://schemas.openxmlformats.org/officeDocument/2006/relationships/table" Target="/xl/tables/table12.xml" Id="R7810404457564a59" /></Relationships>
</file>

<file path=xl/worksheets/_rels/sheet11.xml.rels>&#65279;<?xml version="1.0" encoding="utf-8"?><Relationships xmlns="http://schemas.openxmlformats.org/package/2006/relationships"><Relationship Type="http://schemas.openxmlformats.org/officeDocument/2006/relationships/table" Target="/xl/tables/table13.xml" Id="Ra4a63a2ddbbe4772" /><Relationship Type="http://schemas.openxmlformats.org/officeDocument/2006/relationships/table" Target="/xl/tables/table14.xml" Id="R0491ee96c2464103" /><Relationship Type="http://schemas.openxmlformats.org/officeDocument/2006/relationships/table" Target="/xl/tables/table15.xml" Id="R10ba291c591b4b44"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42" hidden="0" customWidth="1"/>
  </x:cols>
  <x:sheetData>
    <x:row r="1" ht="34" customHeight="1">
      <x:c r="A1" s="57" t="str">
        <x:v>AI4MS Research &amp; Product Planning Workbook</x:v>
      </x:c>
      <x:c r="B1" s="57"/>
      <x:c r="C1" s="57"/>
      <x:c r="D1" s="57"/>
      <x:c r="E1" s="57"/>
      <x:c r="F1" s="57"/>
      <x:c r="G1" s="57"/>
      <x:c r="H1" s="57"/>
    </x:row>
    <x:row r="2" ht="30" customHeight="1">
      <x:c r="A2" s="6" t="str">
        <x:v>100-paper corpus · 28 methods · 40 data sources · 47 formulas · 10 stage agents · 6 human gates · Stata Workbench · 80-task backlog | Product update: 2026-07-16</x:v>
      </x:c>
      <x:c r="B2" s="6"/>
      <x:c r="C2" s="6"/>
      <x:c r="D2" s="6"/>
      <x:c r="E2" s="6"/>
      <x:c r="F2" s="6"/>
      <x:c r="G2" s="6"/>
      <x:c r="H2" s="6"/>
    </x:row>
    <x:row r="4">
      <x:c r="A4" s="59" t="str">
        <x:v>Papers</x:v>
      </x:c>
      <x:c r="B4" s="59" t="str">
        <x:v>Classic</x:v>
      </x:c>
      <x:c r="C4" s="59" t="str">
        <x:v>Recent Hot</x:v>
      </x:c>
      <x:c r="D4" s="59" t="str">
        <x:v>Abstract Cards</x:v>
      </x:c>
      <x:c r="E4" s="59" t="str">
        <x:v>Methods</x:v>
      </x:c>
      <x:c r="F4" s="59" t="str">
        <x:v>Data Sources</x:v>
      </x:c>
      <x:c r="G4" s="59" t="str">
        <x:v>Formulas</x:v>
      </x:c>
      <x:c r="H4" s="59" t="str">
        <x:v>Backlog Tasks</x:v>
      </x:c>
    </x:row>
    <x:row r="5">
      <x:c r="A5" s="68" t="n">
        <x:f>COUNTA('Papers'!$A$5:$A$104)</x:f>
        <x:v>100</x:v>
      </x:c>
      <x:c r="B5" s="69" t="n">
        <x:f>COUNTIF('Papers'!$B$5:$B$104,"classic_high_cited")</x:f>
        <x:v>50</x:v>
      </x:c>
      <x:c r="C5" s="69" t="n">
        <x:f>COUNTIF('Papers'!$B$5:$B$104,"recent_hot_2021_2025")</x:f>
        <x:v>50</x:v>
      </x:c>
      <x:c r="D5" s="69" t="n">
        <x:f>COUNTIF('Papers'!$U$5:$U$104,"abstract")</x:f>
        <x:v>100</x:v>
      </x:c>
      <x:c r="E5" s="69" t="n">
        <x:f>COUNTA('Methods'!$A$5:$A$32)</x:f>
        <x:v>28</x:v>
      </x:c>
      <x:c r="F5" s="69" t="n">
        <x:f>COUNTA('Data Sources'!$A$5:$A$44)</x:f>
        <x:v>40</x:v>
      </x:c>
      <x:c r="G5" s="69" t="n">
        <x:f>COUNTA('Formulas'!$A$5:$A$51)</x:f>
        <x:v>47</x:v>
      </x:c>
      <x:c r="H5" s="70" t="n">
        <x:f>COUNTA('Backlog'!$A$5:$A$84)</x:f>
        <x:v>80</x:v>
      </x:c>
    </x:row>
    <x:row r="8">
      <x:c r="A8" s="72" t="str">
        <x:v>Research Paradigm</x:v>
      </x:c>
      <x:c r="B8" s="72" t="str">
        <x:v>Papers</x:v>
      </x:c>
      <x:c r="D8" s="72" t="str">
        <x:v>Citation Metric</x:v>
      </x:c>
      <x:c r="E8" s="72" t="str">
        <x:v>Value</x:v>
      </x:c>
      <x:c r="G8" s="72" t="str">
        <x:v>Decision</x:v>
      </x:c>
      <x:c r="H8" s="72" t="str">
        <x:v>Recommendation</x:v>
      </x:c>
    </x:row>
    <x:row r="9">
      <x:c r="A9" s="73" t="str">
        <x:v>规范型/处方型</x:v>
      </x:c>
      <x:c r="B9" s="74" t="n">
        <x:f>COUNTIF('Papers'!$N$5:$N$104,A9)</x:f>
        <x:v>28</x:v>
      </x:c>
      <x:c r="D9" s="73" t="str">
        <x:v>Minimum</x:v>
      </x:c>
      <x:c r="E9" s="79" t="n">
        <x:f>MIN('Papers'!$I$5:$I$104)</x:f>
        <x:v>32</x:v>
      </x:c>
      <x:c r="G9" s="88" t="str">
        <x:v>Product core</x:v>
      </x:c>
      <x:c r="H9" s="89" t="str">
        <x:v>Research Protocol + Evidence + Reproducibility, not autonomous paper writing</x:v>
      </x:c>
    </x:row>
    <x:row r="10">
      <x:c r="A10" s="75" t="str">
        <x:v>实证解释型</x:v>
      </x:c>
      <x:c r="B10" s="76" t="n">
        <x:f>COUNTIF('Papers'!$N$5:$N$104,A10)</x:f>
        <x:v>25</x:v>
      </x:c>
      <x:c r="D10" s="75" t="str">
        <x:v>Median</x:v>
      </x:c>
      <x:c r="E10" s="80" t="n">
        <x:f>MEDIAN('Papers'!$I$5:$I$104)</x:f>
        <x:v>771.5</x:v>
      </x:c>
      <x:c r="G10" s="90" t="str">
        <x:v>Reuse</x:v>
      </x:c>
      <x:c r="H10" s="91" t="str">
        <x:v>Keep Riff-Band runtime, pipeline ownership, tools, CLI and MCP</x:v>
      </x:c>
    </x:row>
    <x:row r="11">
      <x:c r="A11" s="75" t="str">
        <x:v>解析型/机制解释</x:v>
      </x:c>
      <x:c r="B11" s="76" t="n">
        <x:f>COUNTIF('Papers'!$N$5:$N$104,A11)</x:f>
        <x:v>10</x:v>
      </x:c>
      <x:c r="D11" s="75" t="str">
        <x:v>Average</x:v>
      </x:c>
      <x:c r="E11" s="80" t="n">
        <x:f>AVERAGE('Papers'!$I$5:$I$104)</x:f>
        <x:v>3643.06</x:v>
      </x:c>
      <x:c r="G11" s="90" t="str">
        <x:v>Fix first</x:v>
      </x:c>
      <x:c r="H11" s="91" t="str">
        <x:v>Remove RIS/ISAC hardcoding and first-success literature search</x:v>
      </x:c>
    </x:row>
    <x:row r="12">
      <x:c r="A12" s="75" t="str">
        <x:v>证据综合型</x:v>
      </x:c>
      <x:c r="B12" s="76" t="n">
        <x:f>COUNTIF('Papers'!$N$5:$N$104,A12)</x:f>
        <x:v>10</x:v>
      </x:c>
      <x:c r="D12" s="77" t="str">
        <x:v>Maximum</x:v>
      </x:c>
      <x:c r="E12" s="81" t="n">
        <x:f>MAX('Papers'!$I$5:$I$104)</x:f>
        <x:v>65030</x:v>
      </x:c>
      <x:c r="G12" s="90" t="str">
        <x:v>MVP</x:v>
      </x:c>
      <x:c r="H12" s="91" t="str">
        <x:v>Idea → related-research report → G0 → stage collaboration → G1/G2/G3 → Stata/Python/R → G4 → G5</x:v>
      </x:c>
    </x:row>
    <x:row r="13">
      <x:c r="A13" s="75" t="str">
        <x:v>理论构建型</x:v>
      </x:c>
      <x:c r="B13" s="76" t="n">
        <x:f>COUNTIF('Papers'!$N$5:$N$104,A13)</x:f>
        <x:v>8</x:v>
      </x:c>
      <x:c r="G13" s="92" t="str">
        <x:v>Next action</x:v>
      </x:c>
      <x:c r="H13" s="93" t="str">
        <x:v>Sprint 0 → Sprint 1 Topic Scout → Sprint 2 Stata + human approval + stage-agent slice</x:v>
      </x:c>
    </x:row>
    <x:row r="14">
      <x:c r="A14" s="75" t="str">
        <x:v>因果解释型</x:v>
      </x:c>
      <x:c r="B14" s="76" t="n">
        <x:f>COUNTIF('Papers'!$N$5:$N$104,A14)</x:f>
        <x:v>7</x:v>
      </x:c>
    </x:row>
    <x:row r="15">
      <x:c r="A15" s="75" t="str">
        <x:v>预测型/计算型</x:v>
      </x:c>
      <x:c r="B15" s="76" t="n">
        <x:f>COUNTIF('Papers'!$N$5:$N$104,A15)</x:f>
        <x:v>7</x:v>
      </x:c>
    </x:row>
    <x:row r="16">
      <x:c r="A16" s="75" t="str">
        <x:v>探索/理论生成型</x:v>
      </x:c>
      <x:c r="B16" s="76" t="n">
        <x:f>COUNTIF('Papers'!$N$5:$N$104,A16)</x:f>
        <x:v>4</x:v>
      </x:c>
    </x:row>
    <x:row r="17">
      <x:c r="A17" s="77" t="str">
        <x:v>设计构建型</x:v>
      </x:c>
      <x:c r="B17" s="78" t="n">
        <x:f>COUNTIF('Papers'!$N$5:$N$104,A17)</x:f>
        <x:v>1</x:v>
      </x:c>
    </x:row>
    <x:row r="18" ht="23" customHeight="1">
      <x:c r="A18" s="139" t="str">
        <x:v>Stage Agents</x:v>
      </x:c>
      <x:c r="B18" s="139" t="str">
        <x:v>Human Gates</x:v>
      </x:c>
      <x:c r="C18" s="139" t="str">
        <x:v>Stata MVP</x:v>
      </x:c>
      <x:c r="D18" s="139" t="str">
        <x:v>Editable</x:v>
      </x:c>
      <x:c r="E18" s="139" t="str">
        <x:v>Approval Rule</x:v>
      </x:c>
      <x:c r="F18" s="139" t="str">
        <x:v>Result Rule</x:v>
      </x:c>
      <x:c r="G18" s="139" t="str">
        <x:v>Backlog</x:v>
      </x:c>
      <x:c r="H18" s="139" t="str">
        <x:v>Next</x:v>
      </x:c>
    </x:row>
    <x:row r="19" ht="34" customHeight="1">
      <x:c r="A19" s="144" t="str">
        <x:v>S0–S9</x:v>
      </x:c>
      <x:c r="B19" s="144" t="str">
        <x:v>G0–G5</x:v>
      </x:c>
      <x:c r="C19" s="144" t="str">
        <x:v>Audit / OLS / FE / DiD</x:v>
      </x:c>
      <x:c r="D19" s="144" t="str">
        <x:v>Draft / patch / branch</x:v>
      </x:c>
      <x:c r="E19" s="144" t="str">
        <x:v>Humans only</x:v>
      </x:c>
      <x:c r="F19" s="144" t="str">
        <x:v>Raw numbers immutable</x:v>
      </x:c>
      <x:c r="G19" s="144" t="str">
        <x:v>80 tasks</x:v>
      </x:c>
      <x:c r="H19" s="144" t="str">
        <x:v>Sprint 2</x:v>
      </x:c>
    </x:row>
    <x:row r="20" ht="42" customHeight="1">
      <x:c r="A20" s="96" t="str">
        <x:v>Corpus caveat: this is a balanced design corpus, not a claim of the globally definitive top 100. Citation counts are dynamic; method/data labels are abstract-level and require full-text review before publication-grade use.</x:v>
      </x:c>
      <x:c r="B20" s="96"/>
      <x:c r="C20" s="96"/>
      <x:c r="D20" s="96"/>
      <x:c r="E20" s="96"/>
      <x:c r="F20" s="96"/>
      <x:c r="G20" s="96"/>
      <x:c r="H20" s="96"/>
    </x:row>
  </x:sheetData>
  <x:mergeCells>
    <x:mergeCell ref="A1:H1"/>
    <x:mergeCell ref="A2:H2"/>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48" hidden="0" customWidth="1"/>
    <x:col min="3" max="3" width="18" hidden="0" customWidth="1"/>
    <x:col min="4" max="4" width="32" hidden="0" customWidth="1"/>
    <x:col min="5" max="5" width="42" hidden="0" customWidth="1"/>
    <x:col min="6" max="6" width="34" hidden="0" customWidth="1"/>
  </x:cols>
  <x:sheetData>
    <x:row r="1">
      <x:c r="A1" s="2" t="str">
        <x:v>Workbook Guide</x:v>
      </x:c>
      <x:c r="B1" s="2"/>
      <x:c r="C1" s="2"/>
      <x:c r="D1" s="2"/>
      <x:c r="E1" s="2"/>
      <x:c r="F1" s="2"/>
    </x:row>
    <x:row r="2">
      <x:c r="A2" s="98" t="str">
        <x:v>Use this workbook to review the evidence corpus, plan Topic Scout, understand S0–S9 human–agent collaboration, and implement the Stata + approval vertical slice. Source-of-truth documents remain in the companion folder.</x:v>
      </x:c>
      <x:c r="B2" s="98"/>
      <x:c r="C2" s="98"/>
      <x:c r="D2" s="98"/>
      <x:c r="E2" s="98"/>
      <x:c r="F2" s="98"/>
    </x:row>
    <x:row r="4">
      <x:c r="A4" s="129" t="str">
        <x:v>Sheet</x:v>
      </x:c>
      <x:c r="B4" s="130" t="str">
        <x:v>Use</x:v>
      </x:c>
      <x:c r="C4" s="130" t="str">
        <x:v>Editable</x:v>
      </x:c>
      <x:c r="D4" s="130" t="str">
        <x:v>Primary Source</x:v>
      </x:c>
      <x:c r="E4" s="130" t="str">
        <x:v>Evidence / Caveat</x:v>
      </x:c>
      <x:c r="F4" s="131" t="str">
        <x:v>Next Step</x:v>
      </x:c>
    </x:row>
    <x:row r="5">
      <x:c r="A5" s="120" t="str">
        <x:v>Overview</x:v>
      </x:c>
      <x:c r="B5" s="121" t="str">
        <x:v>Scope and key decisions</x:v>
      </x:c>
      <x:c r="C5" s="121" t="str">
        <x:v>No</x:v>
      </x:c>
      <x:c r="D5" s="121" t="str">
        <x:v>Formula-driven summary</x:v>
      </x:c>
      <x:c r="E5" s="121" t="str">
        <x:v>Citation snapshot 2026-07-12</x:v>
      </x:c>
      <x:c r="F5" s="122" t="str">
        <x:v>Read Executive Decision</x:v>
      </x:c>
    </x:row>
    <x:row r="6">
      <x:c r="A6" s="120" t="str">
        <x:v>Papers</x:v>
      </x:c>
      <x:c r="B6" s="121" t="str">
        <x:v>Filter 100 papers</x:v>
      </x:c>
      <x:c r="C6" s="121" t="str">
        <x:v>Review status only</x:v>
      </x:c>
      <x:c r="D6" s="121" t="str">
        <x:v>OpenAlex + DOI</x:v>
      </x:c>
      <x:c r="E6" s="121" t="str">
        <x:v>Abstract-level method/data coding</x:v>
      </x:c>
      <x:c r="F6" s="122" t="str">
        <x:v>Full-text double coding</x:v>
      </x:c>
    </x:row>
    <x:row r="7">
      <x:c r="A7" s="120" t="str">
        <x:v>Methods</x:v>
      </x:c>
      <x:c r="B7" s="121" t="str">
        <x:v>Choose design by goal/data/assumptions</x:v>
      </x:c>
      <x:c r="C7" s="121" t="str">
        <x:v>Team version later</x:v>
      </x:c>
      <x:c r="D7" s="121" t="str">
        <x:v>Curated planning library</x:v>
      </x:c>
      <x:c r="E7" s="121" t="str">
        <x:v>Not a substitute for method review</x:v>
      </x:c>
      <x:c r="F7" s="122" t="str">
        <x:v>Create project-specific MethodCard</x:v>
      </x:c>
    </x:row>
    <x:row r="8">
      <x:c r="A8" s="120" t="str">
        <x:v>Data Sources</x:v>
      </x:c>
      <x:c r="B8" s="121" t="str">
        <x:v>Assess feasibility and connector priority</x:v>
      </x:c>
      <x:c r="C8" s="121" t="str">
        <x:v>License status in project</x:v>
      </x:c>
      <x:c r="D8" s="121" t="str">
        <x:v>Official URLs</x:v>
      </x:c>
      <x:c r="E8" s="121" t="str">
        <x:v>Terms change; re-verify</x:v>
      </x:c>
      <x:c r="F8" s="122" t="str">
        <x:v>Create Data Contract</x:v>
      </x:c>
    </x:row>
    <x:row r="9">
      <x:c r="A9" s="120" t="str">
        <x:v>Formulas</x:v>
      </x:c>
      <x:c r="B9" s="121" t="str">
        <x:v>Explain/scaffold models</x:v>
      </x:c>
      <x:c r="C9" s="121" t="str">
        <x:v>Team version later</x:v>
      </x:c>
      <x:c r="D9" s="121" t="str">
        <x:v>Curated formula cards</x:v>
      </x:c>
      <x:c r="E9" s="121" t="str">
        <x:v>Assumptions and diagnostics required</x:v>
      </x:c>
      <x:c r="F9" s="122" t="str">
        <x:v>Link to MethodCard</x:v>
      </x:c>
    </x:row>
    <x:row r="10">
      <x:c r="A10" s="120" t="str">
        <x:v>Backlog</x:v>
      </x:c>
      <x:c r="B10" s="121" t="str">
        <x:v>Import into Jira/Linear/Projects</x:v>
      </x:c>
      <x:c r="C10" s="121" t="str">
        <x:v>Status</x:v>
      </x:c>
      <x:c r="D10" s="121" t="str">
        <x:v>24-week roadmap</x:v>
      </x:c>
      <x:c r="E10" s="121" t="str">
        <x:v>Estimates are planning assumptions</x:v>
      </x:c>
      <x:c r="F10" s="122" t="str">
        <x:v>Start B001–B010, then B046–B080</x:v>
      </x:c>
    </x:row>
    <x:row r="11">
      <x:c r="A11" s="123" t="str">
        <x:v>Risks</x:v>
      </x:c>
      <x:c r="B11" s="124" t="str">
        <x:v>Review at phase gates</x:v>
      </x:c>
      <x:c r="C11" s="124" t="str">
        <x:v>Owner/phase in source</x:v>
      </x:c>
      <x:c r="D11" s="124" t="str">
        <x:v>Risk register</x:v>
      </x:c>
      <x:c r="E11" s="124" t="str">
        <x:v>Critical risks block release</x:v>
      </x:c>
      <x:c r="F11" s="125" t="str">
        <x:v>Assign owners</x:v>
      </x:c>
    </x:row>
    <x:row r="12" ht="42" customHeight="1">
      <x:c r="A12" s="145" t="str">
        <x:v>Topic Scout</x:v>
      </x:c>
      <x:c r="B12" s="145" t="str">
        <x:v>Turn an idea into a related-research report and 2–3 topic candidates</x:v>
      </x:c>
      <x:c r="C12" s="145" t="str">
        <x:v>Question, boundary, inclusion/exclusion, G0 decision</x:v>
      </x:c>
      <x:c r="D12" s="145" t="str">
        <x:v>Multi-source search + evidence synthesis</x:v>
      </x:c>
      <x:c r="E12" s="145" t="str">
        <x:v>Gap claims require counter-search and human review</x:v>
      </x:c>
      <x:c r="F12" s="145" t="str">
        <x:v>Run Sprint 1; approve G0 before protocol</x:v>
      </x:c>
    </x:row>
    <x:row r="13" ht="64" customHeight="1">
      <x:c r="A13" s="163" t="str">
        <x:v>Stage Agents + Approvals + Stata</x:v>
      </x:c>
      <x:c r="B13" s="163" t="str">
        <x:v>S0–S9 collaborators; G0–G5 human gates; BYOL Stata batch runner</x:v>
      </x:c>
      <x:c r="C13" s="163" t="str">
        <x:v>Stage assets, decisions, analysis plan and do-files</x:v>
      </x:c>
      <x:c r="D13" s="163" t="str">
        <x:v>Product specs + official Stata documentation</x:v>
      </x:c>
      <x:c r="E13" s="163" t="str">
        <x:v>AI cannot self-approve, run unapproved main code, or alter raw results</x:v>
      </x:c>
      <x:c r="F13" s="163" t="str">
        <x:v>Run Sprint 2 after Topic Scout foundation</x:v>
      </x:c>
    </x:row>
    <x:row r="14">
      <x:c r="A14" s="134" t="str">
        <x:v>Source</x:v>
      </x:c>
      <x:c r="B14" s="135" t="str">
        <x:v>URL</x:v>
      </x:c>
    </x:row>
    <x:row r="15">
      <x:c r="A15" s="111" t="str">
        <x:v>Riff-Band dev</x:v>
      </x:c>
      <x:c r="B15" s="113" t="str">
        <x:v>https://github.com/franknobox/Riff-Band/tree/dev</x:v>
      </x:c>
    </x:row>
    <x:row r="16">
      <x:c r="A16" s="111" t="str">
        <x:v>UTD journal list</x:v>
      </x:c>
      <x:c r="B16" s="113" t="str">
        <x:v>https://jsom.utdallas.edu/the-utd-top-100-business-school-research-rankings/list-of-journals</x:v>
      </x:c>
    </x:row>
    <x:row r="17">
      <x:c r="A17" s="111" t="str">
        <x:v>OpenAlex Works API</x:v>
      </x:c>
      <x:c r="B17" s="113" t="str">
        <x:v>https://developers.openalex.org/api-reference/works</x:v>
      </x:c>
    </x:row>
    <x:row r="18">
      <x:c r="A18" s="111" t="str">
        <x:v>Crossref REST API</x:v>
      </x:c>
      <x:c r="B18" s="113" t="str">
        <x:v>https://www.crossref.org/documentation/retrieve-metadata/rest-api/</x:v>
      </x:c>
    </x:row>
    <x:row r="19">
      <x:c r="A19" s="111" t="str">
        <x:v>PRISMA 2020</x:v>
      </x:c>
      <x:c r="B19" s="113" t="str">
        <x:v>https://www.prisma-statement.org/prisma-2020-statement</x:v>
      </x:c>
    </x:row>
    <x:row r="20">
      <x:c r="A20" s="114" t="str">
        <x:v>FAIR Principles</x:v>
      </x:c>
      <x:c r="B20" s="116" t="str">
        <x:v>https://doi.org/10.1038/sdata.2016.18</x:v>
      </x:c>
    </x:row>
    <x:row r="21" ht="28" customHeight="1">
      <x:c r="A21" s="149" t="str">
        <x:v>Bohrium official intro</x:v>
      </x:c>
      <x:c r="B21" s="150" t="str">
        <x:v>https://www.bohrium.com/intro</x:v>
      </x:c>
    </x:row>
    <x:row r="22" ht="28" customHeight="1">
      <x:c r="A22" s="149" t="str">
        <x:v>PRISMA-S search reporting</x:v>
      </x:c>
      <x:c r="B22" s="150" t="str">
        <x:v>https://www.prisma-statement.org/prisma-search</x:v>
      </x:c>
    </x:row>
    <x:row r="23" ht="28" customHeight="1">
      <x:c r="A23" s="149" t="str">
        <x:v>Campbell evidence gap maps</x:v>
      </x:c>
      <x:c r="B23" s="150" t="str">
        <x:v>https://www.campbellcollaboration.org/2025/04/the-relevance-of-evidence-gap-maps-for-evaluation-and-decision-making/</x:v>
      </x:c>
    </x:row>
    <x:row r="24">
      <x:c r="A24" t="str">
        <x:v>Stata Unix batch mode</x:v>
      </x:c>
      <x:c r="B24" t="str">
        <x:v>https://www.stata.com/support/faqs/unix/batch-mode/</x:v>
      </x:c>
      <x:c r="C24"/>
      <x:c r="D24"/>
      <x:c r="E24"/>
      <x:c r="F24"/>
    </x:row>
    <x:row r="25">
      <x:c r="A25" t="str">
        <x:v>Stata Windows batch mode</x:v>
      </x:c>
      <x:c r="B25" t="str">
        <x:v>https://www.stata.com/support/faqs/windows/batch-mode/</x:v>
      </x:c>
      <x:c r="C25"/>
      <x:c r="D25"/>
      <x:c r="E25"/>
      <x:c r="F25"/>
    </x:row>
    <x:row r="26">
      <x:c r="A26" t="str">
        <x:v>PyStata</x:v>
      </x:c>
      <x:c r="B26" t="str">
        <x:v>https://www.stata.com/features/overview/pystata-python-integration/</x:v>
      </x:c>
      <x:c r="C26"/>
      <x:c r="D26"/>
      <x:c r="E26"/>
      <x:c r="F26"/>
    </x:row>
    <x:row r="27">
      <x:c r="A27" t="str">
        <x:v>Stata reproducible reporting</x:v>
      </x:c>
      <x:c r="B27" t="str">
        <x:v>https://www.stata.com/features/overview/truly-reproducible-reporting/</x:v>
      </x:c>
      <x:c r="C27"/>
      <x:c r="D27"/>
      <x:c r="E27"/>
      <x:c r="F27"/>
    </x:row>
    <x:row r="28">
      <x:c r="A28" t="str">
        <x:v>Stata datasignature</x:v>
      </x:c>
      <x:c r="B28" t="str">
        <x:v>https://www.stata.com/manuals/ddatasignature.pdf</x:v>
      </x:c>
      <x:c r="C28"/>
      <x:c r="D28"/>
      <x:c r="E28"/>
      <x:c r="F28"/>
    </x:row>
    <x:row r="29">
      <x:c r="A29" t="str">
        <x:v>Stata license options</x:v>
      </x:c>
      <x:c r="B29" t="str">
        <x:v>https://www.stata.com/order/license-options/</x:v>
      </x:c>
      <x:c r="C29"/>
      <x:c r="D29"/>
      <x:c r="E29"/>
      <x:c r="F29"/>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28" hidden="0" customWidth="1"/>
    <x:col min="4" max="4" width="18" hidden="0" customWidth="1"/>
    <x:col min="5" max="5" width="46" hidden="0" customWidth="1"/>
    <x:col min="6" max="6" width="36" hidden="0" customWidth="1"/>
    <x:col min="7" max="7" width="9" hidden="0" customWidth="1"/>
    <x:col min="8" max="8" width="25" hidden="0" customWidth="1"/>
    <x:col min="9" max="9" width="12" hidden="0" customWidth="1"/>
    <x:col min="10" max="10" width="14" hidden="0" customWidth="1"/>
    <x:col min="11" max="11" width="12" hidden="0" customWidth="1"/>
    <x:col min="12" max="12" width="13" hidden="0" customWidth="1"/>
    <x:col min="13" max="13" width="26" hidden="0" customWidth="1"/>
    <x:col min="14" max="14" width="20" hidden="0" customWidth="1"/>
    <x:col min="15" max="15" width="26" hidden="0" customWidth="1"/>
    <x:col min="16" max="16" width="30" hidden="0" customWidth="1"/>
    <x:col min="17" max="17" width="24" hidden="0" customWidth="1"/>
    <x:col min="18" max="18" width="42" hidden="0" customWidth="1"/>
    <x:col min="19" max="19" width="48" hidden="0" customWidth="1"/>
    <x:col min="20" max="20" width="44" hidden="0" customWidth="1"/>
    <x:col min="21" max="21" width="15" hidden="0" customWidth="1"/>
    <x:col min="22" max="22" width="18" hidden="0" customWidth="1"/>
    <x:col min="23" max="23" width="34" hidden="0" customWidth="1"/>
    <x:col min="24" max="24" width="24" hidden="0" customWidth="1"/>
    <x:col min="25" max="25" width="58" hidden="0" customWidth="1"/>
  </x:cols>
  <x:sheetData>
    <x:row r="1" ht="30" customHeight="1">
      <x:c r="A1" s="3" t="str">
        <x:v>100-Paper Management Science Design Corpus</x:v>
      </x:c>
      <x:c r="B1" s="3"/>
      <x:c r="C1" s="3"/>
      <x:c r="D1" s="3"/>
      <x:c r="E1" s="3"/>
      <x:c r="F1" s="3"/>
      <x:c r="G1" s="3"/>
      <x:c r="H1" s="3"/>
      <x:c r="I1" s="3"/>
      <x:c r="J1" s="3"/>
      <x:c r="K1" s="3"/>
      <x:c r="L1" s="3"/>
      <x:c r="M1" s="3"/>
      <x:c r="N1" s="3"/>
      <x:c r="O1" s="3"/>
      <x:c r="P1" s="3"/>
      <x:c r="Q1" s="3"/>
      <x:c r="R1" s="3"/>
      <x:c r="S1" s="3"/>
      <x:c r="T1" s="3"/>
      <x:c r="U1" s="3"/>
      <x:c r="V1" s="3"/>
      <x:c r="W1" s="3"/>
      <x:c r="X1" s="3"/>
      <x:c r="Y1" s="3"/>
    </x:row>
    <x:row r="2" ht="30" customHeight="1">
      <x:c r="A2" s="7" t="str">
        <x:v>Balanced design corpus: 10 journals × 5 all-time highly cited + 5 recent high-velocity. Citation snapshot 2026-07-12; method/data labels are abstract-level and require full-text review.</x:v>
      </x:c>
      <x:c r="B2" s="7"/>
      <x:c r="C2" s="7"/>
      <x:c r="D2" s="7"/>
      <x:c r="E2" s="7"/>
      <x:c r="F2" s="7"/>
      <x:c r="G2" s="7"/>
      <x:c r="H2" s="7"/>
      <x:c r="I2" s="7"/>
      <x:c r="J2" s="7"/>
      <x:c r="K2" s="7"/>
      <x:c r="L2" s="7"/>
      <x:c r="M2" s="7"/>
      <x:c r="N2" s="7"/>
      <x:c r="O2" s="7"/>
      <x:c r="P2" s="7"/>
      <x:c r="Q2" s="7"/>
      <x:c r="R2" s="7"/>
      <x:c r="S2" s="7"/>
      <x:c r="T2" s="7"/>
      <x:c r="U2" s="7"/>
      <x:c r="V2" s="7"/>
      <x:c r="W2" s="7"/>
      <x:c r="X2" s="7"/>
      <x:c r="Y2" s="7"/>
    </x:row>
    <x:row r="4" ht="32" customHeight="1">
      <x:c r="A4" s="16" t="str">
        <x:v>ID</x:v>
      </x:c>
      <x:c r="B4" s="17" t="str">
        <x:v>Sample Type</x:v>
      </x:c>
      <x:c r="C4" s="17" t="str">
        <x:v>Journal</x:v>
      </x:c>
      <x:c r="D4" s="17" t="str">
        <x:v>Domain</x:v>
      </x:c>
      <x:c r="E4" s="17" t="str">
        <x:v>Title</x:v>
      </x:c>
      <x:c r="F4" s="17" t="str">
        <x:v>Authors</x:v>
      </x:c>
      <x:c r="G4" s="17" t="str">
        <x:v>Year</x:v>
      </x:c>
      <x:c r="H4" s="17" t="str">
        <x:v>DOI</x:v>
      </x:c>
      <x:c r="I4" s="17" t="str">
        <x:v>Citations</x:v>
      </x:c>
      <x:c r="J4" s="17" t="str">
        <x:v>Cites 2024-26</x:v>
      </x:c>
      <x:c r="K4" s="17" t="str">
        <x:v>Hot Score</x:v>
      </x:c>
      <x:c r="L4" s="17" t="str">
        <x:v>Snapshot</x:v>
      </x:c>
      <x:c r="M4" s="17" t="str">
        <x:v>Primary Topic</x:v>
      </x:c>
      <x:c r="N4" s="17" t="str">
        <x:v>Paradigm</x:v>
      </x:c>
      <x:c r="O4" s="17" t="str">
        <x:v>Method Family</x:v>
      </x:c>
      <x:c r="P4" s="17" t="str">
        <x:v>Method Evidence</x:v>
      </x:c>
      <x:c r="Q4" s="17" t="str">
        <x:v>Data Type</x:v>
      </x:c>
      <x:c r="R4" s="17" t="str">
        <x:v>Data Evidence</x:v>
      </x:c>
      <x:c r="S4" s="17" t="str">
        <x:v>Inferred Flow</x:v>
      </x:c>
      <x:c r="T4" s="17" t="str">
        <x:v>Framework Summary</x:v>
      </x:c>
      <x:c r="U4" s="17" t="str">
        <x:v>Evidence Level</x:v>
      </x:c>
      <x:c r="V4" s="17" t="str">
        <x:v>Review Status</x:v>
      </x:c>
      <x:c r="W4" s="17" t="str">
        <x:v>Source URL</x:v>
      </x:c>
      <x:c r="X4" s="17" t="str">
        <x:v>OpenAlex ID</x:v>
      </x:c>
      <x:c r="Y4" s="18" t="str">
        <x:v>Abstract Excerpt</x:v>
      </x:c>
    </x:row>
    <x:row r="5" ht="42" customHeight="1">
      <x:c r="A5" s="38" t="str">
        <x:v>P001</x:v>
      </x:c>
      <x:c r="B5" s="39" t="str">
        <x:v>classic_high_cited</x:v>
      </x:c>
      <x:c r="C5" s="39" t="str">
        <x:v>Management Science</x:v>
      </x:c>
      <x:c r="D5" s="39" t="str">
        <x:v>综合管理科学</x:v>
      </x:c>
      <x:c r="E5" s="39" t="str">
        <x:v>User Acceptance of Computer Technology: A Comparison of Two Theoretical Models</x:v>
      </x:c>
      <x:c r="F5" s="39" t="str">
        <x:v>Fred D. Davis; Richard P. Bagozzi; Paul R. Warshaw</x:v>
      </x:c>
      <x:c r="G5" s="47" t="n">
        <x:v>1989</x:v>
      </x:c>
      <x:c r="H5" s="39" t="str">
        <x:v>10.1287/mnsc.35.8.982</x:v>
      </x:c>
      <x:c r="I5" s="50" t="n">
        <x:v>25486</x:v>
      </x:c>
      <x:c r="J5" s="50" t="n">
        <x:v>3507</x:v>
      </x:c>
      <x:c r="K5" s="53" t="n">
        <x:v>669.675</x:v>
      </x:c>
      <x:c r="L5" s="39" t="str">
        <x:v>2026-07-12</x:v>
      </x:c>
      <x:c r="M5" s="39" t="str">
        <x:v>Technology Adoption and User Behaviour</x:v>
      </x:c>
      <x:c r="N5" s="39" t="str">
        <x:v>实证解释型</x:v>
      </x:c>
      <x:c r="O5" s="39" t="str">
        <x:v>结构方程/问卷实证</x:v>
      </x:c>
      <x:c r="P5" s="39" t="str">
        <x:v>technology acceptance model; perceived ease of use; perceived usefulness</x:v>
      </x:c>
      <x:c r="Q5" s="39" t="str">
        <x:v>问卷/量表数据</x:v>
      </x:c>
      <x:c r="R5" s="39" t="str">
        <x:v>In a longitudinal study of 107 users, intentions to use a specific system, measured after a one-hour introduction to the system, were correlated 0.35 with system use 14 weeks later.</x:v>
      </x:c>
      <x:c r="S5" s="39" t="str">
        <x:v>理论框架→假设→构念/变量→样本与测量→统计模型→信效度/拟合→稳健性→理论与管理含义</x:v>
      </x:c>
      <x:c r="T5" s="39" t="str">
        <x:v>以“Technology Adoption and User Behaviour”为对象，采用结构方程/问卷实证，属于实证解释型研究；具体识别、模型与数据细节以全文复核为准。</x:v>
      </x:c>
      <x:c r="U5" s="39" t="str">
        <x:v>abstract</x:v>
      </x:c>
      <x:c r="V5" s="39" t="str">
        <x:v>待逐篇全文复核</x:v>
      </x:c>
      <x:c r="W5" s="39" t="str">
        <x:v>https://doi.org/10.1287/mnsc.35.8.982</x:v>
      </x:c>
      <x:c r="X5" s="39" t="str">
        <x:v>https://openalex.org/W2033943395</x:v>
      </x:c>
      <x:c r="Y5" s="40" t="str">
        <x:v>Computer systems cannot improve organizational performance if they aren't used. Unfortunately, resistance to end-user systems by managers and professionals is a widespread problem. To better predict, explain, and increase user acceptance, we need to better understand why people accept or reject computers. This research addresses the ability to predict peoples' computer acceptance from a measure of their intentions,…</x:v>
      </x:c>
    </x:row>
    <x:row r="6" ht="42" customHeight="1">
      <x:c r="A6" s="41" t="str">
        <x:v>P002</x:v>
      </x:c>
      <x:c r="B6" s="42" t="str">
        <x:v>classic_high_cited</x:v>
      </x:c>
      <x:c r="C6" s="42" t="str">
        <x:v>Management Science</x:v>
      </x:c>
      <x:c r="D6" s="42" t="str">
        <x:v>综合管理科学</x:v>
      </x:c>
      <x:c r="E6" s="42" t="str">
        <x:v>A Theoretical Extension of the Technology Acceptance Model: Four Longitudinal Field Studies</x:v>
      </x:c>
      <x:c r="F6" s="42" t="str">
        <x:v>Viswanath Venkatesh; Fred D. Davis</x:v>
      </x:c>
      <x:c r="G6" s="48" t="n">
        <x:v>2000</x:v>
      </x:c>
      <x:c r="H6" s="42" t="str">
        <x:v>10.1287/mnsc.46.2.186.11926</x:v>
      </x:c>
      <x:c r="I6" s="51" t="n">
        <x:v>22454</x:v>
      </x:c>
      <x:c r="J6" s="51" t="n">
        <x:v>4791</x:v>
      </x:c>
      <x:c r="K6" s="54" t="n">
        <x:v>1046.965</x:v>
      </x:c>
      <x:c r="L6" s="42" t="str">
        <x:v>2026-07-12</x:v>
      </x:c>
      <x:c r="M6" s="42" t="str">
        <x:v>Technology Adoption and User Behaviour</x:v>
      </x:c>
      <x:c r="N6" s="42" t="str">
        <x:v>实证解释型</x:v>
      </x:c>
      <x:c r="O6" s="42" t="str">
        <x:v>结构方程/问卷实证</x:v>
      </x:c>
      <x:c r="P6" s="42" t="str">
        <x:v>technology acceptance model; perceived ease of use; perceived usefulness; longitudinal field studies</x:v>
      </x:c>
      <x:c r="Q6" s="42" t="str">
        <x:v>问卷/量表数据</x:v>
      </x:c>
      <x:c r="R6" s="42" t="str">
        <x:v>The extended model, referred to as TAM2, was tested using longitudinal data collected regarding four different systems at four organizations (N = 156), two involving voluntary usage and two involving mandatory usage.</x:v>
      </x:c>
      <x:c r="S6" s="42" t="str">
        <x:v>理论框架→假设→构念/变量→样本与测量→统计模型→信效度/拟合→稳健性→理论与管理含义</x:v>
      </x:c>
      <x:c r="T6" s="42" t="str">
        <x:v>以“Technology Adoption and User Behaviour”为对象，采用结构方程/问卷实证，属于实证解释型研究；具体识别、模型与数据细节以全文复核为准。</x:v>
      </x:c>
      <x:c r="U6" s="42" t="str">
        <x:v>abstract</x:v>
      </x:c>
      <x:c r="V6" s="42" t="str">
        <x:v>待逐篇全文复核</x:v>
      </x:c>
      <x:c r="W6" s="42" t="str">
        <x:v>https://doi.org/10.1287/mnsc.46.2.186.11926</x:v>
      </x:c>
      <x:c r="X6" s="42" t="str">
        <x:v>https://openalex.org/W2168569455</x:v>
      </x:c>
      <x:c r="Y6" s="43" t="str">
        <x:v>The present research develops and tests a theoretical extension of the Technology Acceptance Model (TAM) that explains perceived usefulness and usage intentions in terms of social influence and cognitive instrumental processes. The extended model, referred to as TAM2, was tested using longitudinal data collected regarding four different systems at four organizations (N = 156), two involving voluntary usage and two…</x:v>
      </x:c>
    </x:row>
    <x:row r="7" ht="42" customHeight="1">
      <x:c r="A7" s="41" t="str">
        <x:v>P003</x:v>
      </x:c>
      <x:c r="B7" s="42" t="str">
        <x:v>classic_high_cited</x:v>
      </x:c>
      <x:c r="C7" s="42" t="str">
        <x:v>Management Science</x:v>
      </x:c>
      <x:c r="D7" s="42" t="str">
        <x:v>综合管理科学</x:v>
      </x:c>
      <x:c r="E7" s="42" t="str">
        <x:v>Some Models for Estimating Technical and Scale Inefficiencies in Data Envelopment Analysis</x:v>
      </x:c>
      <x:c r="F7" s="42" t="str">
        <x:v>Rajiv D. Banker; A. Charnes; W. W. Cooper</x:v>
      </x:c>
      <x:c r="G7" s="48" t="n">
        <x:v>1984</x:v>
      </x:c>
      <x:c r="H7" s="42" t="str">
        <x:v>10.1287/mnsc.30.9.1078</x:v>
      </x:c>
      <x:c r="I7" s="51" t="n">
        <x:v>16601</x:v>
      </x:c>
      <x:c r="J7" s="51" t="n">
        <x:v>1887</x:v>
      </x:c>
      <x:c r="K7" s="54" t="n">
        <x:v>345.828</x:v>
      </x:c>
      <x:c r="L7" s="42" t="str">
        <x:v>2026-07-12</x:v>
      </x:c>
      <x:c r="M7" s="42" t="str">
        <x:v>Efficiency Analysis Using DEA</x:v>
      </x:c>
      <x:c r="N7" s="42" t="str">
        <x:v>规范型/处方型</x:v>
      </x:c>
      <x:c r="O7" s="42" t="str">
        <x:v>优化与算法</x:v>
      </x:c>
      <x:c r="P7" s="42" t="str">
        <x:v>linear programming; data envelopment analysis</x:v>
      </x:c>
      <x:c r="Q7" s="42" t="str">
        <x:v>模型参数/仿真或算例</x:v>
      </x:c>
      <x:c r="R7" s="42" t="str">
        <x:v>Data Envelopment Analysis reverses this role and employs mathematical programming to obtain ex post facto evaluations of the relative efficiency of management accomplishments, however they may have been planned or executed.</x:v>
      </x:c>
      <x:c r="S7" s="42" t="str">
        <x:v>管理决策→系统边界与假设→目标函数/约束→算法或求解器→理论性质→算例/仿真→敏感性→管理洞见</x:v>
      </x:c>
      <x:c r="T7" s="42" t="str">
        <x:v>以“Efficiency Analysis Using DEA”为对象，采用优化与算法，属于规范型/处方型研究；具体识别、模型与数据细节以全文复核为准。</x:v>
      </x:c>
      <x:c r="U7" s="42" t="str">
        <x:v>abstract</x:v>
      </x:c>
      <x:c r="V7" s="42" t="str">
        <x:v>待逐篇全文复核</x:v>
      </x:c>
      <x:c r="W7" s="42" t="str">
        <x:v>https://doi.org/10.1287/mnsc.30.9.1078</x:v>
      </x:c>
      <x:c r="X7" s="42" t="str">
        <x:v>https://openalex.org/W2129763896</x:v>
      </x:c>
      <x:c r="Y7" s="43" t="str">
        <x:v>In management contexts, mathematical programming is usually used to evaluate a collection of possible alternative courses of action en route to selecting one which is best. In this capacity, mathematical programming serves as a planning aid to management. Data Envelopment Analysis reverses this role and employs mathematical programming to obtain ex post facto evaluations of the relative efficiency of management…</x:v>
      </x:c>
    </x:row>
    <x:row r="8" ht="42" customHeight="1">
      <x:c r="A8" s="41" t="str">
        <x:v>P004</x:v>
      </x:c>
      <x:c r="B8" s="42" t="str">
        <x:v>classic_high_cited</x:v>
      </x:c>
      <x:c r="C8" s="42" t="str">
        <x:v>Management Science</x:v>
      </x:c>
      <x:c r="D8" s="42" t="str">
        <x:v>综合管理科学</x:v>
      </x:c>
      <x:c r="E8" s="42" t="str">
        <x:v>Organizational Information Requirements, Media Richness and Structural Design</x:v>
      </x:c>
      <x:c r="F8" s="42" t="str">
        <x:v>Richard L. Daft; Robert H. Lengel</x:v>
      </x:c>
      <x:c r="G8" s="48" t="n">
        <x:v>1986</x:v>
      </x:c>
      <x:c r="H8" s="42" t="str">
        <x:v>10.1287/mnsc.32.5.554</x:v>
      </x:c>
      <x:c r="I8" s="51" t="n">
        <x:v>9588</x:v>
      </x:c>
      <x:c r="J8" s="51" t="n">
        <x:v>1182</x:v>
      </x:c>
      <x:c r="K8" s="54" t="n">
        <x:v>219.832</x:v>
      </x:c>
      <x:c r="L8" s="42" t="str">
        <x:v>2026-07-12</x:v>
      </x:c>
      <x:c r="M8" s="42" t="str">
        <x:v>Competitive and Knowledge Intelligence</x:v>
      </x:c>
      <x:c r="N8" s="42" t="str">
        <x:v>理论构建型</x:v>
      </x:c>
      <x:c r="O8" s="42" t="str">
        <x:v>概念/理论构建</x:v>
      </x:c>
      <x:c r="P8" s="42" t="str">
        <x:v>title_override:organizational information requirements media richness</x:v>
      </x:c>
      <x:c r="Q8" s="42" t="str">
        <x:v>摘要未明确</x:v>
      </x:c>
      <x:c r="R8" s="42" t="str">
        <x:v>One implication for managers is that a major problem is lack of clarity, not lack of data.</x:v>
      </x:c>
      <x:c r="S8" s="42" t="str">
        <x:v>现象/悖论→概念界定→理论锚点→机制与命题→边界条件→可检验含义→后续验证议程</x:v>
      </x:c>
      <x:c r="T8" s="42" t="str">
        <x:v>以“Competitive and Knowledge Intelligence”为对象，采用概念/理论构建，属于理论构建型研究；具体识别、模型与数据细节以全文复核为准。</x:v>
      </x:c>
      <x:c r="U8" s="42" t="str">
        <x:v>abstract</x:v>
      </x:c>
      <x:c r="V8" s="42" t="str">
        <x:v>待逐篇全文复核</x:v>
      </x:c>
      <x:c r="W8" s="42" t="str">
        <x:v>https://doi.org/10.1287/mnsc.32.5.554</x:v>
      </x:c>
      <x:c r="X8" s="42" t="str">
        <x:v>https://openalex.org/W2108752510</x:v>
      </x:c>
      <x:c r="Y8" s="43" t="str">
        <x:v>This paper answers the question, “Why do organizations process information?” Uncertainty and equivocality are defined as two forces that influence information processing in organizations. Organization structure and internal systems determine both the amount and richness of information provided to managers. Models are proposed that show how organizations can be designed to meet the information needs of technology,…</x:v>
      </x:c>
    </x:row>
    <x:row r="9" ht="42" customHeight="1">
      <x:c r="A9" s="41" t="str">
        <x:v>P005</x:v>
      </x:c>
      <x:c r="B9" s="42" t="str">
        <x:v>classic_high_cited</x:v>
      </x:c>
      <x:c r="C9" s="42" t="str">
        <x:v>Management Science</x:v>
      </x:c>
      <x:c r="D9" s="42" t="str">
        <x:v>综合管理科学</x:v>
      </x:c>
      <x:c r="E9" s="42" t="str">
        <x:v>Asset Stock Accumulation and Sustainability of Competitive Advantage</x:v>
      </x:c>
      <x:c r="F9" s="42" t="str">
        <x:v>Ingemar Dierickx; Karel Cool</x:v>
      </x:c>
      <x:c r="G9" s="48" t="n">
        <x:v>1989</x:v>
      </x:c>
      <x:c r="H9" s="42" t="str">
        <x:v>10.1287/mnsc.35.12.1504</x:v>
      </x:c>
      <x:c r="I9" s="51" t="n">
        <x:v>8376</x:v>
      </x:c>
      <x:c r="J9" s="51" t="n">
        <x:v>392</x:v>
      </x:c>
      <x:c r="K9" s="54" t="n">
        <x:v>96.816</x:v>
      </x:c>
      <x:c r="L9" s="42" t="str">
        <x:v>2026-07-12</x:v>
      </x:c>
      <x:c r="M9" s="42" t="str">
        <x:v>Economic theories and models</x:v>
      </x:c>
      <x:c r="N9" s="42" t="str">
        <x:v>理论构建型</x:v>
      </x:c>
      <x:c r="O9" s="42" t="str">
        <x:v>概念/理论构建</x:v>
      </x:c>
      <x:c r="P9" s="42" t="str">
        <x:v>title_override:asset stock accumulation and sustainability</x:v>
      </x:c>
      <x:c r="Q9" s="42" t="str">
        <x:v>摘要未明确</x:v>
      </x:c>
      <x:c r="R9" s="42" t="str">
        <x:v>摘要未明确；需全文补录具体数据源、样本期与变量定义。</x:v>
      </x:c>
      <x:c r="S9" s="42" t="str">
        <x:v>现象/悖论→概念界定→理论锚点→机制与命题→边界条件→可检验含义→后续验证议程</x:v>
      </x:c>
      <x:c r="T9" s="42" t="str">
        <x:v>以“Economic theories and models”为对象，采用概念/理论构建，属于理论构建型研究；具体识别、模型与数据细节以全文复核为准。</x:v>
      </x:c>
      <x:c r="U9" s="42" t="str">
        <x:v>abstract</x:v>
      </x:c>
      <x:c r="V9" s="42" t="str">
        <x:v>待逐篇全文复核</x:v>
      </x:c>
      <x:c r="W9" s="42" t="str">
        <x:v>https://doi.org/10.1287/mnsc.35.12.1504</x:v>
      </x:c>
      <x:c r="X9" s="42" t="str">
        <x:v>https://openalex.org/W2101946146</x:v>
      </x:c>
      <x:c r="Y9" s="43" t="str">
        <x:v>Given incomplete factor markets, appropriate time paths of flow variables must be chosen to build required stocks of assets. That is, critical resources are accumulated rather than acquired in “strategic factor markets” (Barney [Barney, J. 1986. Strategic factor markets: Expectations, luck, and business strategy. Management Sci. (October) 1231–1241.]). Sustainability of a firm's asset position hinges on how easily…</x:v>
      </x:c>
    </x:row>
    <x:row r="10" ht="42" customHeight="1">
      <x:c r="A10" s="41" t="str">
        <x:v>P006</x:v>
      </x:c>
      <x:c r="B10" s="42" t="str">
        <x:v>recent_hot_2021_2025</x:v>
      </x:c>
      <x:c r="C10" s="42" t="str">
        <x:v>Management Science</x:v>
      </x:c>
      <x:c r="D10" s="42" t="str">
        <x:v>综合管理科学</x:v>
      </x:c>
      <x:c r="E10" s="42" t="str">
        <x:v>Quantile Connectedness: Modeling Tail Behavior in the Topology of Financial Networks</x:v>
      </x:c>
      <x:c r="F10" s="42" t="str">
        <x:v>Tomohiro Ando; Matthew Greenwood‐Nimmo; Yongcheol Shin</x:v>
      </x:c>
      <x:c r="G10" s="48" t="n">
        <x:v>2022</x:v>
      </x:c>
      <x:c r="H10" s="42" t="str">
        <x:v>10.1287/mnsc.2021.3984</x:v>
      </x:c>
      <x:c r="I10" s="51" t="n">
        <x:v>778</x:v>
      </x:c>
      <x:c r="J10" s="51" t="n">
        <x:v>598</x:v>
      </x:c>
      <x:c r="K10" s="54" t="n">
        <x:v>291.221</x:v>
      </x:c>
      <x:c r="L10" s="42" t="str">
        <x:v>2026-07-12</x:v>
      </x:c>
      <x:c r="M10" s="42" t="str">
        <x:v>Credit Risk and Financial Regulations</x:v>
      </x:c>
      <x:c r="N10" s="42" t="str">
        <x:v>实证解释型</x:v>
      </x:c>
      <x:c r="O10" s="42" t="str">
        <x:v>回归/统计实证</x:v>
      </x:c>
      <x:c r="P10" s="42" t="str">
        <x:v>regression</x:v>
      </x:c>
      <x:c r="Q10" s="42" t="str">
        <x:v>观察性微观/面板/交易数据</x:v>
      </x:c>
      <x:c r="R10" s="42" t="str">
        <x:v>摘要未明确；需全文补录具体数据源、样本期与变量定义。</x:v>
      </x:c>
      <x:c r="S10" s="42" t="str">
        <x:v>理论框架→假设→构念/变量→样本与测量→统计模型→信效度/拟合→稳健性→理论与管理含义</x:v>
      </x:c>
      <x:c r="T10" s="42" t="str">
        <x:v>以“Credit Risk and Financial Regulations”为对象，采用回归/统计实证，属于实证解释型研究；具体识别、模型与数据细节以全文复核为准。</x:v>
      </x:c>
      <x:c r="U10" s="42" t="str">
        <x:v>abstract</x:v>
      </x:c>
      <x:c r="V10" s="42" t="str">
        <x:v>待逐篇全文复核</x:v>
      </x:c>
      <x:c r="W10" s="42" t="str">
        <x:v>https://doi.org/10.1287/mnsc.2021.3984</x:v>
      </x:c>
      <x:c r="X10" s="42" t="str">
        <x:v>https://openalex.org/W3159199231</x:v>
      </x:c>
      <x:c r="Y10" s="43" t="str">
        <x:v>We develop a new technique to estimate vector autoregressions with a common factor error structure by quantile regression. We apply our technique to study credit risk spillovers among a group of 17 sovereigns and their respective financial sectors between January 2006 and December 2017. We show that idiosyncratic credit risk shocks propagate much more strongly in both tails than at the conditional mean or median.…</x:v>
      </x:c>
    </x:row>
    <x:row r="11" ht="42" customHeight="1">
      <x:c r="A11" s="41" t="str">
        <x:v>P007</x:v>
      </x:c>
      <x:c r="B11" s="42" t="str">
        <x:v>recent_hot_2021_2025</x:v>
      </x:c>
      <x:c r="C11" s="42" t="str">
        <x:v>Management Science</x:v>
      </x:c>
      <x:c r="D11" s="42" t="str">
        <x:v>综合管理科学</x:v>
      </x:c>
      <x:c r="E11" s="42" t="str">
        <x:v>Climate Change, Firm Performance, and Investor Surprises</x:v>
      </x:c>
      <x:c r="F11" s="42" t="str">
        <x:v>Nora Pankratz; Rob Bauer; Jeroen Derwall</x:v>
      </x:c>
      <x:c r="G11" s="48" t="n">
        <x:v>2023</x:v>
      </x:c>
      <x:c r="H11" s="42" t="str">
        <x:v>10.1287/mnsc.2023.4685</x:v>
      </x:c>
      <x:c r="I11" s="51" t="n">
        <x:v>559</x:v>
      </x:c>
      <x:c r="J11" s="51" t="n">
        <x:v>496</x:v>
      </x:c>
      <x:c r="K11" s="54" t="n">
        <x:v>269.462</x:v>
      </x:c>
      <x:c r="L11" s="42" t="str">
        <x:v>2026-07-12</x:v>
      </x:c>
      <x:c r="M11" s="42" t="str">
        <x:v>Market Dynamics and Volatility</x:v>
      </x:c>
      <x:c r="N11" s="42" t="str">
        <x:v>因果解释型</x:v>
      </x:c>
      <x:c r="O11" s="42" t="str">
        <x:v>因果推断/计量经济学</x:v>
      </x:c>
      <x:c r="P11" s="42" t="str">
        <x:v>title_override:climate change firm performance and investor surprises</x:v>
      </x:c>
      <x:c r="Q11" s="42" t="str">
        <x:v>观察性微观/面板/交易数据</x:v>
      </x:c>
      <x:c r="R11" s="42" t="str">
        <x:v>We link records of firm performance, equity analyst forecast errors, and stock returns around companies’ earnings announcements to firm-specific measures of heat exposure for more than 17,000 firms in 93 countries from 1995 to 2019.</x:v>
      </x:c>
      <x:c r="S11" s="42" t="str">
        <x:v>理论机制→可检验假设→识别设计→样本与变量→估计→平行趋势/有效性→稳健性→机制与异质性</x:v>
      </x:c>
      <x:c r="T11" s="42" t="str">
        <x:v>以“Market Dynamics and Volatility”为对象，采用因果推断/计量经济学，属于因果解释型研究；具体识别、模型与数据细节以全文复核为准。</x:v>
      </x:c>
      <x:c r="U11" s="42" t="str">
        <x:v>abstract</x:v>
      </x:c>
      <x:c r="V11" s="42" t="str">
        <x:v>待逐篇全文复核</x:v>
      </x:c>
      <x:c r="W11" s="42" t="str">
        <x:v>https://doi.org/10.1287/mnsc.2023.4685</x:v>
      </x:c>
      <x:c r="X11" s="42" t="str">
        <x:v>https://openalex.org/W4328094166</x:v>
      </x:c>
      <x:c r="Y11" s="43" t="str">
        <x:v>We link records of firm performance, equity analyst forecast errors, and stock returns around companies’ earnings announcements to firm-specific measures of heat exposure for more than 17,000 firms in 93 countries from 1995 to 2019. We find that increased exposure to extremely high temperatures reduces firms’ revenues and operating income. A one-standard-deviation increase in the number of hot days decreases…</x:v>
      </x:c>
    </x:row>
    <x:row r="12" ht="42" customHeight="1">
      <x:c r="A12" s="41" t="str">
        <x:v>P008</x:v>
      </x:c>
      <x:c r="B12" s="42" t="str">
        <x:v>recent_hot_2021_2025</x:v>
      </x:c>
      <x:c r="C12" s="42" t="str">
        <x:v>Management Science</x:v>
      </x:c>
      <x:c r="D12" s="42" t="str">
        <x:v>综合管理科学</x:v>
      </x:c>
      <x:c r="E12" s="42" t="str">
        <x:v>Climate Risk and Capital Structure</x:v>
      </x:c>
      <x:c r="F12" s="42" t="str">
        <x:v>Édith Ginglinger; Quentin Moreau</x:v>
      </x:c>
      <x:c r="G12" s="48" t="n">
        <x:v>2023</x:v>
      </x:c>
      <x:c r="H12" s="42" t="str">
        <x:v>10.1287/mnsc.2023.4952</x:v>
      </x:c>
      <x:c r="I12" s="51" t="n">
        <x:v>549</x:v>
      </x:c>
      <x:c r="J12" s="51" t="n">
        <x:v>494</x:v>
      </x:c>
      <x:c r="K12" s="54" t="n">
        <x:v>268.087</x:v>
      </x:c>
      <x:c r="L12" s="42" t="str">
        <x:v>2026-07-12</x:v>
      </x:c>
      <x:c r="M12" s="42" t="str">
        <x:v>Insurance and Financial Risk Management</x:v>
      </x:c>
      <x:c r="N12" s="42" t="str">
        <x:v>实证解释型</x:v>
      </x:c>
      <x:c r="O12" s="42" t="str">
        <x:v>回归/统计实证</x:v>
      </x:c>
      <x:c r="P12" s="42" t="str">
        <x:v>title_override:climate risk and capital structure</x:v>
      </x:c>
      <x:c r="Q12" s="42" t="str">
        <x:v>观察性微观/面板/交易数据</x:v>
      </x:c>
      <x:c r="R12" s="42" t="str">
        <x:v>We use firm-level data that measure forward-looking physical climate risk to examine the impact of climate risk on capital structure.</x:v>
      </x:c>
      <x:c r="S12" s="42" t="str">
        <x:v>理论框架→假设→构念/变量→样本与测量→统计模型→信效度/拟合→稳健性→理论与管理含义</x:v>
      </x:c>
      <x:c r="T12" s="42" t="str">
        <x:v>以“Insurance and Financial Risk Management”为对象，采用回归/统计实证，属于实证解释型研究；具体识别、模型与数据细节以全文复核为准。</x:v>
      </x:c>
      <x:c r="U12" s="42" t="str">
        <x:v>abstract</x:v>
      </x:c>
      <x:c r="V12" s="42" t="str">
        <x:v>待逐篇全文复核</x:v>
      </x:c>
      <x:c r="W12" s="42" t="str">
        <x:v>https://doi.org/10.1287/mnsc.2023.4952</x:v>
      </x:c>
      <x:c r="X12" s="42" t="str">
        <x:v>https://openalex.org/W4387818547</x:v>
      </x:c>
      <x:c r="Y12" s="43" t="str">
        <x:v>We use firm-level data that measure forward-looking physical climate risk to examine the impact of climate risk on capital structure. We find that greater physical climate risk leads to lower leverage in the post-2015 period (i.e., after the Paris Agreement and the first step of standardization of disclosure of climate risk information). Our results hold after controlling for firm characteristics known to determine…</x:v>
      </x:c>
    </x:row>
    <x:row r="13" ht="42" customHeight="1">
      <x:c r="A13" s="41" t="str">
        <x:v>P009</x:v>
      </x:c>
      <x:c r="B13" s="42" t="str">
        <x:v>recent_hot_2021_2025</x:v>
      </x:c>
      <x:c r="C13" s="42" t="str">
        <x:v>Management Science</x:v>
      </x:c>
      <x:c r="D13" s="42" t="str">
        <x:v>综合管理科学</x:v>
      </x:c>
      <x:c r="E13" s="42" t="str">
        <x:v>Climate Change Concerns and the Performance of Green vs. Brown Stocks</x:v>
      </x:c>
      <x:c r="F13" s="42" t="str">
        <x:v>David Ardia; Keven Bluteau; Kris Boudt; Koen Inghelbrecht</x:v>
      </x:c>
      <x:c r="G13" s="48" t="n">
        <x:v>2022</x:v>
      </x:c>
      <x:c r="H13" s="42" t="str">
        <x:v>10.1287/mnsc.2022.4636</x:v>
      </x:c>
      <x:c r="I13" s="51" t="n">
        <x:v>588</x:v>
      </x:c>
      <x:c r="J13" s="51" t="n">
        <x:v>494</x:v>
      </x:c>
      <x:c r="K13" s="54" t="n">
        <x:v>239.011</x:v>
      </x:c>
      <x:c r="L13" s="42" t="str">
        <x:v>2026-07-12</x:v>
      </x:c>
      <x:c r="M13" s="42" t="str">
        <x:v>Market Dynamics and Volatility</x:v>
      </x:c>
      <x:c r="N13" s="42" t="str">
        <x:v>实证解释型</x:v>
      </x:c>
      <x:c r="O13" s="42" t="str">
        <x:v>回归/统计实证</x:v>
      </x:c>
      <x:c r="P13" s="42" t="str">
        <x:v>title_override:green vs brown stocks</x:v>
      </x:c>
      <x:c r="Q13" s="42" t="str">
        <x:v>观察性微观/面板/交易数据</x:v>
      </x:c>
      <x:c r="R13" s="42" t="str">
        <x:v>(2021) that green firms outperform brown firms when concerns about climate change increase unexpectedly, using data for S&amp;amp;P 500 companies from January 2010 to June 2018.</x:v>
      </x:c>
      <x:c r="S13" s="42" t="str">
        <x:v>理论框架→假设→构念/变量→样本与测量→统计模型→信效度/拟合→稳健性→理论与管理含义</x:v>
      </x:c>
      <x:c r="T13" s="42" t="str">
        <x:v>以“Market Dynamics and Volatility”为对象，采用回归/统计实证，属于实证解释型研究；具体识别、模型与数据细节以全文复核为准。</x:v>
      </x:c>
      <x:c r="U13" s="42" t="str">
        <x:v>abstract</x:v>
      </x:c>
      <x:c r="V13" s="42" t="str">
        <x:v>待逐篇全文复核</x:v>
      </x:c>
      <x:c r="W13" s="42" t="str">
        <x:v>https://doi.org/10.1287/mnsc.2022.4636</x:v>
      </x:c>
      <x:c r="X13" s="42" t="str">
        <x:v>https://openalex.org/W4312118455</x:v>
      </x:c>
      <x:c r="Y13" s="43" t="str">
        <x:v>We empirically test the prediction of Pástor et al. (2021) that green firms outperform brown firms when concerns about climate change increase unexpectedly, using data for S&amp;amp;P 500 companies from January 2010 to June 2018. To capture unexpected increases in climate change concerns, we construct a daily Media Climate Change Concerns index using news about climate change published by major U.S. newspapers and…</x:v>
      </x:c>
    </x:row>
    <x:row r="14" ht="42" customHeight="1">
      <x:c r="A14" s="41" t="str">
        <x:v>P010</x:v>
      </x:c>
      <x:c r="B14" s="42" t="str">
        <x:v>recent_hot_2021_2025</x:v>
      </x:c>
      <x:c r="C14" s="42" t="str">
        <x:v>Management Science</x:v>
      </x:c>
      <x:c r="D14" s="42" t="str">
        <x:v>综合管理科学</x:v>
      </x:c>
      <x:c r="E14" s="42" t="str">
        <x:v>Deep Learning in Asset Pricing</x:v>
      </x:c>
      <x:c r="F14" s="42" t="str">
        <x:v>Luyang Chen; Markus Pelger; Jason Zhu</x:v>
      </x:c>
      <x:c r="G14" s="48" t="n">
        <x:v>2023</x:v>
      </x:c>
      <x:c r="H14" s="42" t="str">
        <x:v>10.1287/mnsc.2023.4695</x:v>
      </x:c>
      <x:c r="I14" s="51" t="n">
        <x:v>411</x:v>
      </x:c>
      <x:c r="J14" s="51" t="n">
        <x:v>305</x:v>
      </x:c>
      <x:c r="K14" s="54" t="n">
        <x:v>168.412</x:v>
      </x:c>
      <x:c r="L14" s="42" t="str">
        <x:v>2026-07-12</x:v>
      </x:c>
      <x:c r="M14" s="42" t="str">
        <x:v>Stock Market Forecasting Methods</x:v>
      </x:c>
      <x:c r="N14" s="42" t="str">
        <x:v>预测型/计算型</x:v>
      </x:c>
      <x:c r="O14" s="42" t="str">
        <x:v>机器学习/文本与预测分析</x:v>
      </x:c>
      <x:c r="P14" s="42" t="str">
        <x:v>deep learning; neural network</x:v>
      </x:c>
      <x:c r="Q14" s="42" t="str">
        <x:v>观察数据/数字痕迹/文本/时序</x:v>
      </x:c>
      <x:c r="R14" s="42" t="str">
        <x:v>Our asset pricing model outperforms out-of-sample all benchmark approaches in terms of Sharpe ratio, explained variation, and pricing errors and identifies the key factors that drive asset prices.</x:v>
      </x:c>
      <x:c r="S14" s="42" t="str">
        <x:v>预测/分类任务→数据与标签→特征/表示→训练与验证→基线比较→误差与解释→决策/部署约束</x:v>
      </x:c>
      <x:c r="T14" s="42" t="str">
        <x:v>以“Stock Market Forecasting Methods”为对象，采用机器学习/文本与预测分析，属于预测型/计算型研究；具体识别、模型与数据细节以全文复核为准。</x:v>
      </x:c>
      <x:c r="U14" s="42" t="str">
        <x:v>abstract</x:v>
      </x:c>
      <x:c r="V14" s="42" t="str">
        <x:v>待逐篇全文复核</x:v>
      </x:c>
      <x:c r="W14" s="42" t="str">
        <x:v>https://doi.org/10.1287/mnsc.2023.4695</x:v>
      </x:c>
      <x:c r="X14" s="42" t="str">
        <x:v>https://openalex.org/W2927831250</x:v>
      </x:c>
      <x:c r="Y14" s="43" t="str">
        <x:v>We use deep neural networks to estimate an asset pricing model for individual stock returns that takes advantage of the vast amount of conditioning information, keeps a fully flexible form, and accounts for time variation. The key innovations are to use the fundamental no-arbitrage condition as criterion function to construct the most informative test assets with an adversarial approach and to extract the states of…</x:v>
      </x:c>
    </x:row>
    <x:row r="15" ht="42" customHeight="1">
      <x:c r="A15" s="41" t="str">
        <x:v>P011</x:v>
      </x:c>
      <x:c r="B15" s="42" t="str">
        <x:v>classic_high_cited</x:v>
      </x:c>
      <x:c r="C15" s="42" t="str">
        <x:v>Operations Research</x:v>
      </x:c>
      <x:c r="D15" s="42" t="str">
        <x:v>运筹学与决策分析</x:v>
      </x:c>
      <x:c r="E15" s="42" t="str">
        <x:v>The Price of Robustness</x:v>
      </x:c>
      <x:c r="F15" s="42" t="str">
        <x:v>Dimitris Bertsimas; Melvyn Sim</x:v>
      </x:c>
      <x:c r="G15" s="48" t="n">
        <x:v>2004</x:v>
      </x:c>
      <x:c r="H15" s="42" t="str">
        <x:v>10.1287/opre.1030.0065</x:v>
      </x:c>
      <x:c r="I15" s="51" t="n">
        <x:v>4427</x:v>
      </x:c>
      <x:c r="J15" s="51" t="n">
        <x:v>790</x:v>
      </x:c>
      <x:c r="K15" s="54" t="n">
        <x:v>193.807</x:v>
      </x:c>
      <x:c r="L15" s="42" t="str">
        <x:v>2026-07-12</x:v>
      </x:c>
      <x:c r="M15" s="42" t="str">
        <x:v>Risk and Portfolio Optimization</x:v>
      </x:c>
      <x:c r="N15" s="42" t="str">
        <x:v>规范型/处方型</x:v>
      </x:c>
      <x:c r="O15" s="42" t="str">
        <x:v>优化与算法</x:v>
      </x:c>
      <x:c r="P15" s="42" t="str">
        <x:v>linear programming; robust optimization; robustness</x:v>
      </x:c>
      <x:c r="Q15" s="42" t="str">
        <x:v>模型参数/仿真或算例</x:v>
      </x:c>
      <x:c r="R15" s="42" t="str">
        <x:v>A robust approach to solving linear optimization problems with uncertain data was proposed in the early 1970s and has recently been extensively studied and extended.</x:v>
      </x:c>
      <x:c r="S15" s="42" t="str">
        <x:v>管理决策→系统边界与假设→目标函数/约束→算法或求解器→理论性质→算例/仿真→敏感性→管理洞见</x:v>
      </x:c>
      <x:c r="T15" s="42" t="str">
        <x:v>以“Risk and Portfolio Optimization”为对象，采用优化与算法，属于规范型/处方型研究；具体识别、模型与数据细节以全文复核为准。</x:v>
      </x:c>
      <x:c r="U15" s="42" t="str">
        <x:v>abstract</x:v>
      </x:c>
      <x:c r="V15" s="42" t="str">
        <x:v>待逐篇全文复核</x:v>
      </x:c>
      <x:c r="W15" s="42" t="str">
        <x:v>https://doi.org/10.1287/opre.1030.0065</x:v>
      </x:c>
      <x:c r="X15" s="42" t="str">
        <x:v>https://openalex.org/W2118578357</x:v>
      </x:c>
      <x:c r="Y15" s="43" t="str">
        <x:v>A robust approach to solving linear optimization problems with uncertain data was proposed in the early 1970s and has recently been extensively studied and extended. Under this approach, we are willing to accept a suboptimal solution for the nominal values of the data in order to ensure that the solution remains feasible and near optimal when the data changes. A concern with such an approach is that it might be too…</x:v>
      </x:c>
    </x:row>
    <x:row r="16" ht="42" customHeight="1">
      <x:c r="A16" s="41" t="str">
        <x:v>P012</x:v>
      </x:c>
      <x:c r="B16" s="42" t="str">
        <x:v>classic_high_cited</x:v>
      </x:c>
      <x:c r="C16" s="42" t="str">
        <x:v>Operations Research</x:v>
      </x:c>
      <x:c r="D16" s="42" t="str">
        <x:v>运筹学与决策分析</x:v>
      </x:c>
      <x:c r="E16" s="42" t="str">
        <x:v>Algorithms for the Vehicle Routing and Scheduling Problems with Time Window Constraints</x:v>
      </x:c>
      <x:c r="F16" s="42" t="str">
        <x:v>Marius M. Solomon</x:v>
      </x:c>
      <x:c r="G16" s="48" t="n">
        <x:v>1987</x:v>
      </x:c>
      <x:c r="H16" s="42" t="str">
        <x:v>10.1287/opre.35.2.254</x:v>
      </x:c>
      <x:c r="I16" s="51" t="n">
        <x:v>4196</x:v>
      </x:c>
      <x:c r="J16" s="51" t="n">
        <x:v>619</x:v>
      </x:c>
      <x:c r="K16" s="54" t="n">
        <x:v>113.766</x:v>
      </x:c>
      <x:c r="L16" s="42" t="str">
        <x:v>2026-07-12</x:v>
      </x:c>
      <x:c r="M16" s="42" t="str">
        <x:v>Vehicle Routing Optimization Methods</x:v>
      </x:c>
      <x:c r="N16" s="42" t="str">
        <x:v>规范型/处方型</x:v>
      </x:c>
      <x:c r="O16" s="42" t="str">
        <x:v>优化与算法</x:v>
      </x:c>
      <x:c r="P16" s="42" t="str">
        <x:v>vehicle routing; scheduling problem; shop scheduling; routing problem; routing and scheduling</x:v>
      </x:c>
      <x:c r="Q16" s="42" t="str">
        <x:v>模型参数/仿真或算例</x:v>
      </x:c>
      <x:c r="R16" s="42" t="str">
        <x:v>The problem set includes routing and scheduling environments that differ in terms of the type of data used to generate the problems, the percentage of customers with time windows, their tightness and positioning, and the scheduling horizon.</x:v>
      </x:c>
      <x:c r="S16" s="42" t="str">
        <x:v>管理决策→系统边界与假设→目标函数/约束→算法或求解器→理论性质→算例/仿真→敏感性→管理洞见</x:v>
      </x:c>
      <x:c r="T16" s="42" t="str">
        <x:v>以“Vehicle Routing Optimization Methods”为对象，采用优化与算法，属于规范型/处方型研究；具体识别、模型与数据细节以全文复核为准。</x:v>
      </x:c>
      <x:c r="U16" s="42" t="str">
        <x:v>abstract</x:v>
      </x:c>
      <x:c r="V16" s="42" t="str">
        <x:v>待逐篇全文复核</x:v>
      </x:c>
      <x:c r="W16" s="42" t="str">
        <x:v>https://doi.org/10.1287/opre.35.2.254</x:v>
      </x:c>
      <x:c r="X16" s="42" t="str">
        <x:v>https://openalex.org/W2096305430</x:v>
      </x:c>
      <x:c r="Y16" s="43" t="str">
        <x:v>This paper considers the design and analysis of algorithms for vehicle routing and scheduling problems with time window constraints. Given the intrinsic difficulty of this problem class, approximation methods seem to offer the most promise for practical size problems. After describing a variety of heuristics, we conduct an extensive computational study of their performance. The problem set includes routing and…</x:v>
      </x:c>
    </x:row>
    <x:row r="17" ht="42" customHeight="1">
      <x:c r="A17" s="41" t="str">
        <x:v>P013</x:v>
      </x:c>
      <x:c r="B17" s="42" t="str">
        <x:v>classic_high_cited</x:v>
      </x:c>
      <x:c r="C17" s="42" t="str">
        <x:v>Operations Research</x:v>
      </x:c>
      <x:c r="D17" s="42" t="str">
        <x:v>运筹学与决策分析</x:v>
      </x:c>
      <x:c r="E17" s="42" t="str">
        <x:v>Scheduling of Vehicles from a Central Depot to a Number of Delivery Points</x:v>
      </x:c>
      <x:c r="F17" s="42" t="str">
        <x:v>Graham Clarke; J. W. Wright</x:v>
      </x:c>
      <x:c r="G17" s="48" t="n">
        <x:v>1964</x:v>
      </x:c>
      <x:c r="H17" s="42" t="str">
        <x:v>10.1287/opre.12.4.568</x:v>
      </x:c>
      <x:c r="I17" s="51" t="n">
        <x:v>3850</x:v>
      </x:c>
      <x:c r="J17" s="51" t="n">
        <x:v>373</x:v>
      </x:c>
      <x:c r="K17" s="54" t="n">
        <x:v>56.286</x:v>
      </x:c>
      <x:c r="L17" s="42" t="str">
        <x:v>2026-07-12</x:v>
      </x:c>
      <x:c r="M17" s="42" t="str">
        <x:v>Vehicle Routing Optimization Methods</x:v>
      </x:c>
      <x:c r="N17" s="42" t="str">
        <x:v>规范型/处方型</x:v>
      </x:c>
      <x:c r="O17" s="42" t="str">
        <x:v>优化与算法</x:v>
      </x:c>
      <x:c r="P17" s="42" t="str">
        <x:v>vehicle routing; routing problem</x:v>
      </x:c>
      <x:c r="Q17" s="42" t="str">
        <x:v>模型参数/仿真或算例</x:v>
      </x:c>
      <x:c r="R17" s="42" t="str">
        <x:v>摘要未明确；需全文补录具体数据源、样本期与变量定义。</x:v>
      </x:c>
      <x:c r="S17" s="42" t="str">
        <x:v>管理决策→系统边界与假设→目标函数/约束→算法或求解器→理论性质→算例/仿真→敏感性→管理洞见</x:v>
      </x:c>
      <x:c r="T17" s="42" t="str">
        <x:v>以“Vehicle Routing Optimization Methods”为对象，采用优化与算法，属于规范型/处方型研究；具体识别、模型与数据细节以全文复核为准。</x:v>
      </x:c>
      <x:c r="U17" s="42" t="str">
        <x:v>abstract</x:v>
      </x:c>
      <x:c r="V17" s="42" t="str">
        <x:v>待逐篇全文复核</x:v>
      </x:c>
      <x:c r="W17" s="42" t="str">
        <x:v>https://doi.org/10.1287/opre.12.4.568</x:v>
      </x:c>
      <x:c r="X17" s="42" t="str">
        <x:v>https://openalex.org/W2111581650</x:v>
      </x:c>
      <x:c r="Y17" s="43" t="str">
        <x:v>The optimum routing of a fleet of trucks of varying capacities from a central depot to a number of delivery points may require a selection from a very large number of possible routes, if the number of delivery points is also large. This paper, after considering certain theoretical aspects of the problem, develops an iterative procedure that enables the rapid selection of an optimum or near-optimum route. It has been…</x:v>
      </x:c>
    </x:row>
    <x:row r="18" ht="42" customHeight="1">
      <x:c r="A18" s="41" t="str">
        <x:v>P014</x:v>
      </x:c>
      <x:c r="B18" s="42" t="str">
        <x:v>classic_high_cited</x:v>
      </x:c>
      <x:c r="C18" s="42" t="str">
        <x:v>Operations Research</x:v>
      </x:c>
      <x:c r="D18" s="42" t="str">
        <x:v>运筹学与决策分析</x:v>
      </x:c>
      <x:c r="E18" s="42" t="str">
        <x:v>An Effective Heuristic Algorithm for the Traveling-Salesman Problem</x:v>
      </x:c>
      <x:c r="F18" s="42" t="str">
        <x:v>Simon Lin; Brian W. Kernighan</x:v>
      </x:c>
      <x:c r="G18" s="48" t="n">
        <x:v>1973</x:v>
      </x:c>
      <x:c r="H18" s="42" t="str">
        <x:v>10.1287/opre.21.2.498</x:v>
      </x:c>
      <x:c r="I18" s="51" t="n">
        <x:v>3804</x:v>
      </x:c>
      <x:c r="J18" s="51" t="n">
        <x:v>236</x:v>
      </x:c>
      <x:c r="K18" s="54" t="n">
        <x:v>42.818</x:v>
      </x:c>
      <x:c r="L18" s="42" t="str">
        <x:v>2026-07-12</x:v>
      </x:c>
      <x:c r="M18" s="42" t="str">
        <x:v>Vehicle Routing Optimization Methods</x:v>
      </x:c>
      <x:c r="N18" s="42" t="str">
        <x:v>规范型/处方型</x:v>
      </x:c>
      <x:c r="O18" s="42" t="str">
        <x:v>优化与算法</x:v>
      </x:c>
      <x:c r="P18" s="42" t="str">
        <x:v>heuristic algorithm; vehicle routing; traveling-salesman; travelling salesman</x:v>
      </x:c>
      <x:c r="Q18" s="42" t="str">
        <x:v>模型参数/仿真或算例</x:v>
      </x:c>
      <x:c r="R18" s="42" t="str">
        <x:v>摘要未明确；需全文补录具体数据源、样本期与变量定义。</x:v>
      </x:c>
      <x:c r="S18" s="42" t="str">
        <x:v>管理决策→系统边界与假设→目标函数/约束→算法或求解器→理论性质→算例/仿真→敏感性→管理洞见</x:v>
      </x:c>
      <x:c r="T18" s="42" t="str">
        <x:v>以“Vehicle Routing Optimization Methods”为对象，采用优化与算法，属于规范型/处方型研究；具体识别、模型与数据细节以全文复核为准。</x:v>
      </x:c>
      <x:c r="U18" s="42" t="str">
        <x:v>abstract</x:v>
      </x:c>
      <x:c r="V18" s="42" t="str">
        <x:v>待逐篇全文复核</x:v>
      </x:c>
      <x:c r="W18" s="42" t="str">
        <x:v>https://doi.org/10.1287/opre.21.2.498</x:v>
      </x:c>
      <x:c r="X18" s="42" t="str">
        <x:v>https://openalex.org/W2042986967</x:v>
      </x:c>
      <x:c r="Y18" s="43" t="str">
        <x:v>This paper discusses a highly effective heuristic procedure for generating optimum and near-optimum solutions for the symmetric traveling-salesman problem. The procedure is based on a general approach to heuristics that is believed to have wide applicability in combinatorial optimization problems. The procedure produces optimum solutions for all problems tested, “classical” problems appearing in the literature, as…</x:v>
      </x:c>
    </x:row>
    <x:row r="19" ht="42" customHeight="1">
      <x:c r="A19" s="41" t="str">
        <x:v>P015</x:v>
      </x:c>
      <x:c r="B19" s="42" t="str">
        <x:v>classic_high_cited</x:v>
      </x:c>
      <x:c r="C19" s="42" t="str">
        <x:v>Operations Research</x:v>
      </x:c>
      <x:c r="D19" s="42" t="str">
        <x:v>运筹学与决策分析</x:v>
      </x:c>
      <x:c r="E19" s="42" t="str">
        <x:v>Shock Waves on the Highway</x:v>
      </x:c>
      <x:c r="F19" s="42" t="str">
        <x:v>P.I. Richards</x:v>
      </x:c>
      <x:c r="G19" s="48" t="n">
        <x:v>1956</x:v>
      </x:c>
      <x:c r="H19" s="42" t="str">
        <x:v>10.1287/opre.4.1.42</x:v>
      </x:c>
      <x:c r="I19" s="51" t="n">
        <x:v>3613</x:v>
      </x:c>
      <x:c r="J19" s="51" t="n">
        <x:v>384</x:v>
      </x:c>
      <x:c r="K19" s="54" t="n">
        <x:v>53.324</x:v>
      </x:c>
      <x:c r="L19" s="42" t="str">
        <x:v>2026-07-12</x:v>
      </x:c>
      <x:c r="M19" s="42" t="str">
        <x:v>Traffic control and management</x:v>
      </x:c>
      <x:c r="N19" s="42" t="str">
        <x:v>规范型/处方型</x:v>
      </x:c>
      <x:c r="O19" s="42" t="str">
        <x:v>随机过程/动态规划/仿真</x:v>
      </x:c>
      <x:c r="P19" s="42" t="str">
        <x:v>traffic flow; shock waves</x:v>
      </x:c>
      <x:c r="Q19" s="42" t="str">
        <x:v>模型参数/仿真或算例</x:v>
      </x:c>
      <x:c r="R19" s="42" t="str">
        <x:v>摘要未明确；需全文补录具体数据源、样本期与变量定义。</x:v>
      </x:c>
      <x:c r="S19" s="42" t="str">
        <x:v>管理决策→系统边界与假设→目标函数/约束→算法或求解器→理论性质→算例/仿真→敏感性→管理洞见</x:v>
      </x:c>
      <x:c r="T19" s="42" t="str">
        <x:v>以“Traffic control and management”为对象，采用随机过程/动态规划/仿真，属于规范型/处方型研究；具体识别、模型与数据细节以全文复核为准。</x:v>
      </x:c>
      <x:c r="U19" s="42" t="str">
        <x:v>abstract</x:v>
      </x:c>
      <x:c r="V19" s="42" t="str">
        <x:v>待逐篇全文复核</x:v>
      </x:c>
      <x:c r="W19" s="42" t="str">
        <x:v>https://doi.org/10.1287/opre.4.1.42</x:v>
      </x:c>
      <x:c r="X19" s="42" t="str">
        <x:v>https://openalex.org/W2093921901</x:v>
      </x:c>
      <x:c r="Y19" s="43" t="str">
        <x:v>A simple theory of traffic flow is developed by replacing individual vehicles with a continuous “fluid” density and applying an empirical relation between speed and density. Characteristic features of the resulting theory are a simple “graph-shearing” process for following the development of traffic waves in time and the frequent appearance of shock waves. The effect of a traffic signal on traffic streams is studied…</x:v>
      </x:c>
    </x:row>
    <x:row r="20" ht="42" customHeight="1">
      <x:c r="A20" s="41" t="str">
        <x:v>P016</x:v>
      </x:c>
      <x:c r="B20" s="42" t="str">
        <x:v>recent_hot_2021_2025</x:v>
      </x:c>
      <x:c r="C20" s="42" t="str">
        <x:v>Operations Research</x:v>
      </x:c>
      <x:c r="D20" s="42" t="str">
        <x:v>运筹学与决策分析</x:v>
      </x:c>
      <x:c r="E20" s="42" t="str">
        <x:v>Shipping Emission Control Area Optimization Considering Carbon Emission Reduction</x:v>
      </x:c>
      <x:c r="F20" s="42" t="str">
        <x:v>Dan Zhuge; Shuaian Wang; Lu Zhen</x:v>
      </x:c>
      <x:c r="G20" s="48" t="n">
        <x:v>2024</x:v>
      </x:c>
      <x:c r="H20" s="42" t="str">
        <x:v>10.1287/opre.2022.0361</x:v>
      </x:c>
      <x:c r="I20" s="51" t="n">
        <x:v>58</x:v>
      </x:c>
      <x:c r="J20" s="51" t="n">
        <x:v>58</x:v>
      </x:c>
      <x:c r="K20" s="54" t="n">
        <x:v>36.964</x:v>
      </x:c>
      <x:c r="L20" s="42" t="str">
        <x:v>2026-07-12</x:v>
      </x:c>
      <x:c r="M20" s="42" t="str">
        <x:v>Maritime Transport Emissions and Efficiency</x:v>
      </x:c>
      <x:c r="N20" s="42" t="str">
        <x:v>规范型/处方型</x:v>
      </x:c>
      <x:c r="O20" s="42" t="str">
        <x:v>随机过程/动态规划/仿真</x:v>
      </x:c>
      <x:c r="P20" s="42" t="str">
        <x:v>dynamic programming; stackelberg</x:v>
      </x:c>
      <x:c r="Q20" s="42" t="str">
        <x:v>模型参数/仿真或算例</x:v>
      </x:c>
      <x:c r="R20" s="42" t="str">
        <x:v>The effectiveness of the proposed policies in reducing social costs is validated by numerical experiments.</x:v>
      </x:c>
      <x:c r="S20" s="42" t="str">
        <x:v>管理决策→系统边界与假设→目标函数/约束→算法或求解器→理论性质→算例/仿真→敏感性→管理洞见</x:v>
      </x:c>
      <x:c r="T20" s="42" t="str">
        <x:v>以“Maritime Transport Emissions and Efficiency”为对象，采用随机过程/动态规划/仿真，属于规范型/处方型研究；具体识别、模型与数据细节以全文复核为准。</x:v>
      </x:c>
      <x:c r="U20" s="42" t="str">
        <x:v>abstract</x:v>
      </x:c>
      <x:c r="V20" s="42" t="str">
        <x:v>待逐篇全文复核</x:v>
      </x:c>
      <x:c r="W20" s="42" t="str">
        <x:v>https://doi.org/10.1287/opre.2022.0361</x:v>
      </x:c>
      <x:c r="X20" s="42" t="str">
        <x:v>https://openalex.org/W4392847588</x:v>
      </x:c>
      <x:c r="Y20" s="43" t="str">
        <x:v>Managing Shipping Emission Control Areas The design of emission control areas (ECAs) is crucial for reducing global shipping emissions and protecting the environment. In “Shipping Emission Control Area Optimization Considering Carbon Emission Reduction,” Zhuge, Wang, and Zhen focus on the ECA optimization problem for sailing legs with ECAs. First, a case with a no-ECA policy and a case with the current ECA policy…</x:v>
      </x:c>
    </x:row>
    <x:row r="21" ht="42" customHeight="1">
      <x:c r="A21" s="41" t="str">
        <x:v>P017</x:v>
      </x:c>
      <x:c r="B21" s="42" t="str">
        <x:v>recent_hot_2021_2025</x:v>
      </x:c>
      <x:c r="C21" s="42" t="str">
        <x:v>Operations Research</x:v>
      </x:c>
      <x:c r="D21" s="42" t="str">
        <x:v>运筹学与决策分析</x:v>
      </x:c>
      <x:c r="E21" s="42" t="str">
        <x:v>Robust Satisficing</x:v>
      </x:c>
      <x:c r="F21" s="42" t="str">
        <x:v>Daniel Zhuoyu Long; Melvyn Sim; Minglong Zhou</x:v>
      </x:c>
      <x:c r="G21" s="48" t="n">
        <x:v>2022</x:v>
      </x:c>
      <x:c r="H21" s="42" t="str">
        <x:v>10.1287/opre.2021.2238</x:v>
      </x:c>
      <x:c r="I21" s="51" t="n">
        <x:v>109</x:v>
      </x:c>
      <x:c r="J21" s="51" t="n">
        <x:v>74</x:v>
      </x:c>
      <x:c r="K21" s="54" t="n">
        <x:v>36.811</x:v>
      </x:c>
      <x:c r="L21" s="42" t="str">
        <x:v>2026-07-12</x:v>
      </x:c>
      <x:c r="M21" s="42" t="str">
        <x:v>Risk and Portfolio Optimization</x:v>
      </x:c>
      <x:c r="N21" s="42" t="str">
        <x:v>规范型/处方型</x:v>
      </x:c>
      <x:c r="O21" s="42" t="str">
        <x:v>优化与算法</x:v>
      </x:c>
      <x:c r="P21" s="42" t="str">
        <x:v>linear programming; robust optimization; robust satisficing</x:v>
      </x:c>
      <x:c r="Q21" s="42" t="str">
        <x:v>模型参数/仿真或算例</x:v>
      </x:c>
      <x:c r="R21" s="42" t="str">
        <x:v>We show that the solutions to the robust satisficing models are more effective in improving the out-of-sample performance evaluated on a variety of metrics, hence alleviating the optimizer’s curse.</x:v>
      </x:c>
      <x:c r="S21" s="42" t="str">
        <x:v>管理决策→系统边界与假设→目标函数/约束→算法或求解器→理论性质→算例/仿真→敏感性→管理洞见</x:v>
      </x:c>
      <x:c r="T21" s="42" t="str">
        <x:v>以“Risk and Portfolio Optimization”为对象，采用优化与算法，属于规范型/处方型研究；具体识别、模型与数据细节以全文复核为准。</x:v>
      </x:c>
      <x:c r="U21" s="42" t="str">
        <x:v>abstract</x:v>
      </x:c>
      <x:c r="V21" s="42" t="str">
        <x:v>待逐篇全文复核</x:v>
      </x:c>
      <x:c r="W21" s="42" t="str">
        <x:v>https://doi.org/10.1287/opre.2021.2238</x:v>
      </x:c>
      <x:c r="X21" s="42" t="str">
        <x:v>https://openalex.org/W4210430861</x:v>
      </x:c>
      <x:c r="Y21" s="43" t="str">
        <x:v>We present a general framework for robust satisficing that favors solutions for which a risk-aware objective function would best attain an acceptable target even when the actual probability distribution deviates from the empirical distribution. The satisficing decision maker specifies an acceptable target, or loss of optimality compared with the empirical optimization model, as a trade-off for the model’s ability to…</x:v>
      </x:c>
    </x:row>
    <x:row r="22" ht="42" customHeight="1">
      <x:c r="A22" s="41" t="str">
        <x:v>P018</x:v>
      </x:c>
      <x:c r="B22" s="42" t="str">
        <x:v>recent_hot_2021_2025</x:v>
      </x:c>
      <x:c r="C22" s="42" t="str">
        <x:v>Operations Research</x:v>
      </x:c>
      <x:c r="D22" s="42" t="str">
        <x:v>运筹学与决策分析</x:v>
      </x:c>
      <x:c r="E22" s="42" t="str">
        <x:v>Inverse Optimization: Theory and Applications</x:v>
      </x:c>
      <x:c r="F22" s="42" t="str">
        <x:v>Timothy C. Y. Chan; Rafid Mahmood; Ian Yihang Zhu</x:v>
      </x:c>
      <x:c r="G22" s="48" t="n">
        <x:v>2023</x:v>
      </x:c>
      <x:c r="H22" s="42" t="str">
        <x:v>10.1287/opre.2022.0382</x:v>
      </x:c>
      <x:c r="I22" s="51" t="n">
        <x:v>69</x:v>
      </x:c>
      <x:c r="J22" s="51" t="n">
        <x:v>67</x:v>
      </x:c>
      <x:c r="K22" s="54" t="n">
        <x:v>36.587</x:v>
      </x:c>
      <x:c r="L22" s="42" t="str">
        <x:v>2026-07-12</x:v>
      </x:c>
      <x:c r="M22" s="42" t="str">
        <x:v>Advanced Multi-Objective Optimization Algorithms</x:v>
      </x:c>
      <x:c r="N22" s="42" t="str">
        <x:v>规范型/处方型</x:v>
      </x:c>
      <x:c r="O22" s="42" t="str">
        <x:v>优化与算法</x:v>
      </x:c>
      <x:c r="P22" s="42" t="str">
        <x:v>inverse optimization</x:v>
      </x:c>
      <x:c r="Q22" s="42" t="str">
        <x:v>模型参数/仿真或算例</x:v>
      </x:c>
      <x:c r="R22" s="42" t="str">
        <x:v>摘要未明确；需全文补录具体数据源、样本期与变量定义。</x:v>
      </x:c>
      <x:c r="S22" s="42" t="str">
        <x:v>管理决策→系统边界与假设→目标函数/约束→算法或求解器→理论性质→算例/仿真→敏感性→管理洞见</x:v>
      </x:c>
      <x:c r="T22" s="42" t="str">
        <x:v>以“Advanced Multi-Objective Optimization Algorithms”为对象，采用优化与算法，属于规范型/处方型研究；具体识别、模型与数据细节以全文复核为准。</x:v>
      </x:c>
      <x:c r="U22" s="42" t="str">
        <x:v>abstract</x:v>
      </x:c>
      <x:c r="V22" s="42" t="str">
        <x:v>待逐篇全文复核</x:v>
      </x:c>
      <x:c r="W22" s="42" t="str">
        <x:v>https://doi.org/10.1287/opre.2022.0382</x:v>
      </x:c>
      <x:c r="X22" s="42" t="str">
        <x:v>https://openalex.org/W3197777288</x:v>
      </x:c>
      <x:c r="Y22" s="43" t="str">
        <x:v>A Review of Inverse Optimization In recent years, there has been an explosion of interest in the mathematics and applications of inverse optimization. Unlike traditional optimization, which seeks to compute optimal decisions given an objective and constraints, inverse optimization takes decisions as input and determines an objective and/or constraints that render these decisions approximately or exactly optimal. In…</x:v>
      </x:c>
    </x:row>
    <x:row r="23" ht="42" customHeight="1">
      <x:c r="A23" s="41" t="str">
        <x:v>P019</x:v>
      </x:c>
      <x:c r="B23" s="42" t="str">
        <x:v>recent_hot_2021_2025</x:v>
      </x:c>
      <x:c r="C23" s="42" t="str">
        <x:v>Operations Research</x:v>
      </x:c>
      <x:c r="D23" s="42" t="str">
        <x:v>运筹学与决策分析</x:v>
      </x:c>
      <x:c r="E23" s="42" t="str">
        <x:v>Disruption and Rerouting in Supply Chain Networks</x:v>
      </x:c>
      <x:c r="F23" s="42" t="str">
        <x:v>John R. Birge; Agostino Capponi; Peng-Chu Chen</x:v>
      </x:c>
      <x:c r="G23" s="48" t="n">
        <x:v>2022</x:v>
      </x:c>
      <x:c r="H23" s="42" t="str">
        <x:v>10.1287/opre.2022.2409</x:v>
      </x:c>
      <x:c r="I23" s="51" t="n">
        <x:v>74</x:v>
      </x:c>
      <x:c r="J23" s="51" t="n">
        <x:v>66</x:v>
      </x:c>
      <x:c r="K23" s="54" t="n">
        <x:v>32.183</x:v>
      </x:c>
      <x:c r="L23" s="42" t="str">
        <x:v>2026-07-12</x:v>
      </x:c>
      <x:c r="M23" s="42" t="str">
        <x:v>Supply Chain Resilience and Risk Management</x:v>
      </x:c>
      <x:c r="N23" s="42" t="str">
        <x:v>规范型/处方型</x:v>
      </x:c>
      <x:c r="O23" s="42" t="str">
        <x:v>优化与算法</x:v>
      </x:c>
      <x:c r="P23" s="42" t="str">
        <x:v>title_override:disruption and rerouting in supply chain networks</x:v>
      </x:c>
      <x:c r="Q23" s="42" t="str">
        <x:v>模型参数/仿真或算例</x:v>
      </x:c>
      <x:c r="R23" s="42" t="str">
        <x:v>摘要未明确；需全文补录具体数据源、样本期与变量定义。</x:v>
      </x:c>
      <x:c r="S23" s="42" t="str">
        <x:v>管理决策→系统边界与假设→目标函数/约束→算法或求解器→理论性质→算例/仿真→敏感性→管理洞见</x:v>
      </x:c>
      <x:c r="T23" s="42" t="str">
        <x:v>以“Supply Chain Resilience and Risk Management”为对象，采用优化与算法，属于规范型/处方型研究；具体识别、模型与数据细节以全文复核为准。</x:v>
      </x:c>
      <x:c r="U23" s="42" t="str">
        <x:v>abstract</x:v>
      </x:c>
      <x:c r="V23" s="42" t="str">
        <x:v>待逐篇全文复核</x:v>
      </x:c>
      <x:c r="W23" s="42" t="str">
        <x:v>https://doi.org/10.1287/opre.2022.2409</x:v>
      </x:c>
      <x:c r="X23" s="42" t="str">
        <x:v>https://openalex.org/W4312127992</x:v>
      </x:c>
      <x:c r="Y23" s="43" t="str">
        <x:v>The recent coronavirus disease 2019 pandemic has shown that shortages and supply chain disruptions can have catastrophic effects on the real economy. These observations bring about reflections and first-order questions. How can we design supply chain networks that are robust and resilient to demand and supply shocks? Can we quantify the indirect effects caused by buyers’ and suppliers’ defaults in the network? Is it…</x:v>
      </x:c>
    </x:row>
    <x:row r="24" ht="42" customHeight="1">
      <x:c r="A24" s="41" t="str">
        <x:v>P020</x:v>
      </x:c>
      <x:c r="B24" s="42" t="str">
        <x:v>recent_hot_2021_2025</x:v>
      </x:c>
      <x:c r="C24" s="42" t="str">
        <x:v>Operations Research</x:v>
      </x:c>
      <x:c r="D24" s="42" t="str">
        <x:v>运筹学与决策分析</x:v>
      </x:c>
      <x:c r="E24" s="42" t="str">
        <x:v>Technical Note—Data-Driven Chance Constrained Programs over Wasserstein Balls</x:v>
      </x:c>
      <x:c r="F24" s="42" t="str">
        <x:v>Zhi Chen; Daniel Kühn; Wolfram Wiesemann</x:v>
      </x:c>
      <x:c r="G24" s="48" t="n">
        <x:v>2022</x:v>
      </x:c>
      <x:c r="H24" s="42" t="str">
        <x:v>10.1287/opre.2022.2330</x:v>
      </x:c>
      <x:c r="I24" s="51" t="n">
        <x:v>94</x:v>
      </x:c>
      <x:c r="J24" s="51" t="n">
        <x:v>64</x:v>
      </x:c>
      <x:c r="K24" s="54" t="n">
        <x:v>31.889</x:v>
      </x:c>
      <x:c r="L24" s="42" t="str">
        <x:v>2026-07-12</x:v>
      </x:c>
      <x:c r="M24" s="42" t="str">
        <x:v>Risk and Portfolio Optimization</x:v>
      </x:c>
      <x:c r="N24" s="42" t="str">
        <x:v>规范型/处方型</x:v>
      </x:c>
      <x:c r="O24" s="42" t="str">
        <x:v>优化与算法</x:v>
      </x:c>
      <x:c r="P24" s="42" t="str">
        <x:v>mixed-integer; chance constrained</x:v>
      </x:c>
      <x:c r="Q24" s="42" t="str">
        <x:v>模型参数/仿真或算例</x:v>
      </x:c>
      <x:c r="R24" s="42" t="str">
        <x:v>In the era of modern business analytics, data-driven optimization has emerged as a popular modeling paradigm to transform data into decisions.</x:v>
      </x:c>
      <x:c r="S24" s="42" t="str">
        <x:v>管理决策→系统边界与假设→目标函数/约束→算法或求解器→理论性质→算例/仿真→敏感性→管理洞见</x:v>
      </x:c>
      <x:c r="T24" s="42" t="str">
        <x:v>以“Risk and Portfolio Optimization”为对象，采用优化与算法，属于规范型/处方型研究；具体识别、模型与数据细节以全文复核为准。</x:v>
      </x:c>
      <x:c r="U24" s="42" t="str">
        <x:v>abstract</x:v>
      </x:c>
      <x:c r="V24" s="42" t="str">
        <x:v>待逐篇全文复核</x:v>
      </x:c>
      <x:c r="W24" s="42" t="str">
        <x:v>https://doi.org/10.1287/opre.2022.2330</x:v>
      </x:c>
      <x:c r="X24" s="42" t="str">
        <x:v>https://openalex.org/W4286494325</x:v>
      </x:c>
      <x:c r="Y24" s="43" t="str">
        <x:v>In the era of modern business analytics, data-driven optimization has emerged as a popular modeling paradigm to transform data into decisions. By constructing an ambiguity set of the potential data-generating distributions and subsequently hedging against all member distributions within this ambiguity set, data-driven optimization effectively combats the ambiguity with which real-life data sets are plagued. Chen et…</x:v>
      </x:c>
    </x:row>
    <x:row r="25" ht="42" customHeight="1">
      <x:c r="A25" s="41" t="str">
        <x:v>P021</x:v>
      </x:c>
      <x:c r="B25" s="42" t="str">
        <x:v>classic_high_cited</x:v>
      </x:c>
      <x:c r="C25" s="42" t="str">
        <x:v>Manufacturing &amp; Service Operations Management</x:v>
      </x:c>
      <x:c r="D25" s="42" t="str">
        <x:v>制造与服务运营</x:v>
      </x:c>
      <x:c r="E25" s="42" t="str">
        <x:v>Telephone Call Centers: Tutorial, Review, and Research Prospects</x:v>
      </x:c>
      <x:c r="F25" s="42" t="str">
        <x:v>Noah Gans; Ger Koole; Avishai Mandelbaum</x:v>
      </x:c>
      <x:c r="G25" s="48" t="n">
        <x:v>2003</x:v>
      </x:c>
      <x:c r="H25" s="42" t="str">
        <x:v>10.1287/msom.5.2.79.16071</x:v>
      </x:c>
      <x:c r="I25" s="51" t="n">
        <x:v>1389</x:v>
      </x:c>
      <x:c r="J25" s="51" t="n">
        <x:v>109</x:v>
      </x:c>
      <x:c r="K25" s="54" t="n">
        <x:v>31.135</x:v>
      </x:c>
      <x:c r="L25" s="42" t="str">
        <x:v>2026-07-12</x:v>
      </x:c>
      <x:c r="M25" s="42" t="str">
        <x:v>Advanced Queuing Theory Analysis</x:v>
      </x:c>
      <x:c r="N25" s="42" t="str">
        <x:v>证据综合型</x:v>
      </x:c>
      <x:c r="O25" s="42" t="str">
        <x:v>综述/理论整合/元分析</x:v>
      </x:c>
      <x:c r="P25" s="42" t="str">
        <x:v>tutorial; research prospects; queuing; call centers; call center</x:v>
      </x:c>
      <x:c r="Q25" s="42" t="str">
        <x:v>文献与已发表效应量</x:v>
      </x:c>
      <x:c r="R25" s="42" t="str">
        <x:v>They are also fascinating sociotechnical systems in which the behavior of customers and employees is closely intertwined with physical performance measures.</x:v>
      </x:c>
      <x:c r="S25" s="42" t="str">
        <x:v>检索协议→纳排标准→编码→质量/偏倚评估→主题或效应综合→异质性→研究议程</x:v>
      </x:c>
      <x:c r="T25" s="42" t="str">
        <x:v>以“Advanced Queuing Theory Analysis”为对象，采用综述/理论整合/元分析，属于证据综合型研究；具体识别、模型与数据细节以全文复核为准。</x:v>
      </x:c>
      <x:c r="U25" s="42" t="str">
        <x:v>abstract</x:v>
      </x:c>
      <x:c r="V25" s="42" t="str">
        <x:v>待逐篇全文复核</x:v>
      </x:c>
      <x:c r="W25" s="42" t="str">
        <x:v>https://doi.org/10.1287/msom.5.2.79.16071</x:v>
      </x:c>
      <x:c r="X25" s="42" t="str">
        <x:v>https://openalex.org/W2119338125</x:v>
      </x:c>
      <x:c r="Y25" s="43" t="str">
        <x:v>Telephone call centers are an integral part of many businesses, and their economic role is significant and growing. They are also fascinating sociotechnical systems in which the behavior of customers and employees is closely intertwined with physical performance measures. In these environments traditional operational models are of great value—and at the same time fundamentally limited—in their ability to…</x:v>
      </x:c>
    </x:row>
    <x:row r="26" ht="42" customHeight="1">
      <x:c r="A26" s="41" t="str">
        <x:v>P022</x:v>
      </x:c>
      <x:c r="B26" s="42" t="str">
        <x:v>classic_high_cited</x:v>
      </x:c>
      <x:c r="C26" s="42" t="str">
        <x:v>Manufacturing &amp; Service Operations Management</x:v>
      </x:c>
      <x:c r="D26" s="42" t="str">
        <x:v>制造与服务运营</x:v>
      </x:c>
      <x:c r="E26" s="42" t="str">
        <x:v>Selling to the Newsvendor: An Analysis of Price-Only Contracts</x:v>
      </x:c>
      <x:c r="F26" s="42" t="str">
        <x:v>Martin A. Lariviere; Evan L. Porteus</x:v>
      </x:c>
      <x:c r="G26" s="48" t="n">
        <x:v>2001</x:v>
      </x:c>
      <x:c r="H26" s="42" t="str">
        <x:v>10.1287/msom.3.4.293.9971</x:v>
      </x:c>
      <x:c r="I26" s="51" t="n">
        <x:v>1080</x:v>
      </x:c>
      <x:c r="J26" s="51" t="n">
        <x:v>81</x:v>
      </x:c>
      <x:c r="K26" s="54" t="n">
        <x:v>22.312</x:v>
      </x:c>
      <x:c r="L26" s="42" t="str">
        <x:v>2026-07-12</x:v>
      </x:c>
      <x:c r="M26" s="42" t="str">
        <x:v>Supply Chain and Inventory Management</x:v>
      </x:c>
      <x:c r="N26" s="42" t="str">
        <x:v>规范型/处方型</x:v>
      </x:c>
      <x:c r="O26" s="42" t="str">
        <x:v>随机过程/动态规划/仿真</x:v>
      </x:c>
      <x:c r="P26" s="42" t="str">
        <x:v>newsvendor; auction; price-only contracts</x:v>
      </x:c>
      <x:c r="Q26" s="42" t="str">
        <x:v>模型参数/仿真或算例</x:v>
      </x:c>
      <x:c r="R26" s="42" t="str">
        <x:v>摘要未明确；需全文补录具体数据源、样本期与变量定义。</x:v>
      </x:c>
      <x:c r="S26" s="42" t="str">
        <x:v>管理决策→系统边界与假设→目标函数/约束→算法或求解器→理论性质→算例/仿真→敏感性→管理洞见</x:v>
      </x:c>
      <x:c r="T26" s="42" t="str">
        <x:v>以“Supply Chain and Inventory Management”为对象，采用随机过程/动态规划/仿真，属于规范型/处方型研究；具体识别、模型与数据细节以全文复核为准。</x:v>
      </x:c>
      <x:c r="U26" s="42" t="str">
        <x:v>abstract</x:v>
      </x:c>
      <x:c r="V26" s="42" t="str">
        <x:v>待逐篇全文复核</x:v>
      </x:c>
      <x:c r="W26" s="42" t="str">
        <x:v>https://doi.org/10.1287/msom.3.4.293.9971</x:v>
      </x:c>
      <x:c r="X26" s="42" t="str">
        <x:v>https://openalex.org/W2149035559</x:v>
      </x:c>
      <x:c r="Y26" s="43" t="str">
        <x:v>We consider a simple supply-chain contract in which a manufacturer sells to a retailer facing a newsvendor problem and the lone contract parameter is a wholesale price. We develop a mild restriction satisfied by many common distributions that assures that the manufacturer's problem is readily amenable to analysis. The manufacturer's profit and sales quantity increase with market size, but the resulting wholesale…</x:v>
      </x:c>
    </x:row>
    <x:row r="27" ht="42" customHeight="1">
      <x:c r="A27" s="41" t="str">
        <x:v>P023</x:v>
      </x:c>
      <x:c r="B27" s="42" t="str">
        <x:v>classic_high_cited</x:v>
      </x:c>
      <x:c r="C27" s="42" t="str">
        <x:v>Manufacturing &amp; Service Operations Management</x:v>
      </x:c>
      <x:c r="D27" s="42" t="str">
        <x:v>制造与服务运营</x:v>
      </x:c>
      <x:c r="E27" s="42" t="str">
        <x:v>An Overview of Pricing Models for Revenue Management</x:v>
      </x:c>
      <x:c r="F27" s="42" t="str">
        <x:v>Gabriel R. Bitran; René Caldentey</x:v>
      </x:c>
      <x:c r="G27" s="48" t="n">
        <x:v>2003</x:v>
      </x:c>
      <x:c r="H27" s="42" t="str">
        <x:v>10.1287/msom.5.3.203.16031</x:v>
      </x:c>
      <x:c r="I27" s="51" t="n">
        <x:v>806</x:v>
      </x:c>
      <x:c r="J27" s="51" t="n">
        <x:v>55</x:v>
      </x:c>
      <x:c r="K27" s="54" t="n">
        <x:v>16.468</x:v>
      </x:c>
      <x:c r="L27" s="42" t="str">
        <x:v>2026-07-12</x:v>
      </x:c>
      <x:c r="M27" s="42" t="str">
        <x:v>Supply Chain and Inventory Management</x:v>
      </x:c>
      <x:c r="N27" s="42" t="str">
        <x:v>证据综合型</x:v>
      </x:c>
      <x:c r="O27" s="42" t="str">
        <x:v>综述/理论整合/元分析</x:v>
      </x:c>
      <x:c r="P27" s="42" t="str">
        <x:v>an overview of</x:v>
      </x:c>
      <x:c r="Q27" s="42" t="str">
        <x:v>文献与已发表效应量</x:v>
      </x:c>
      <x:c r="R27" s="42" t="str">
        <x:v>The survey is based on a generic revenue management problem in which a perishable and nonrenewable set of resources satisfy stochastic price sensitive demand processes over a finite period of time.</x:v>
      </x:c>
      <x:c r="S27" s="42" t="str">
        <x:v>检索协议→纳排标准→编码→质量/偏倚评估→主题或效应综合→异质性→研究议程</x:v>
      </x:c>
      <x:c r="T27" s="42" t="str">
        <x:v>以“Supply Chain and Inventory Management”为对象，采用综述/理论整合/元分析，属于证据综合型研究；具体识别、模型与数据细节以全文复核为准。</x:v>
      </x:c>
      <x:c r="U27" s="42" t="str">
        <x:v>abstract</x:v>
      </x:c>
      <x:c r="V27" s="42" t="str">
        <x:v>待逐篇全文复核</x:v>
      </x:c>
      <x:c r="W27" s="42" t="str">
        <x:v>https://doi.org/10.1287/msom.5.3.203.16031</x:v>
      </x:c>
      <x:c r="X27" s="42" t="str">
        <x:v>https://openalex.org/W2100951624</x:v>
      </x:c>
      <x:c r="Y27" s="43" t="str">
        <x:v>In this paper, we examine the research and results of dynamic pricing policies and their relation to revenue management. The survey is based on a generic revenue management problem in which a perishable and nonrenewable set of resources satisfy stochastic price sensitive demand processes over a finite period of time. In this class of problems, the owner (or the seller) of these resources uses them to produce and…</x:v>
      </x:c>
    </x:row>
    <x:row r="28" ht="42" customHeight="1">
      <x:c r="A28" s="41" t="str">
        <x:v>P024</x:v>
      </x:c>
      <x:c r="B28" s="42" t="str">
        <x:v>classic_high_cited</x:v>
      </x:c>
      <x:c r="C28" s="42" t="str">
        <x:v>Manufacturing &amp; Service Operations Management</x:v>
      </x:c>
      <x:c r="D28" s="42" t="str">
        <x:v>制造与服务运营</x:v>
      </x:c>
      <x:c r="E28" s="42" t="str">
        <x:v>Channel Dynamics Under Price and Service Competition</x:v>
      </x:c>
      <x:c r="F28" s="42" t="str">
        <x:v>Andy A. Tsay; Narendra Agrawal</x:v>
      </x:c>
      <x:c r="G28" s="48" t="n">
        <x:v>2000</x:v>
      </x:c>
      <x:c r="H28" s="42" t="str">
        <x:v>10.1287/msom.2.4.372.12342</x:v>
      </x:c>
      <x:c r="I28" s="51" t="n">
        <x:v>804</x:v>
      </x:c>
      <x:c r="J28" s="51" t="n">
        <x:v>89</x:v>
      </x:c>
      <x:c r="K28" s="54" t="n">
        <x:v>21.787</x:v>
      </x:c>
      <x:c r="L28" s="42" t="str">
        <x:v>2026-07-12</x:v>
      </x:c>
      <x:c r="M28" s="42" t="str">
        <x:v>Merger and Competition Analysis</x:v>
      </x:c>
      <x:c r="N28" s="42" t="str">
        <x:v>解析型/机制解释</x:v>
      </x:c>
      <x:c r="O28" s="42" t="str">
        <x:v>解析建模</x:v>
      </x:c>
      <x:c r="P28" s="42" t="str">
        <x:v>we characterize</x:v>
      </x:c>
      <x:c r="Q28" s="42" t="str">
        <x:v>模型参数/仿真或算例</x:v>
      </x:c>
      <x:c r="R28" s="42" t="str">
        <x:v>This paper studies a distribution system in which a manufacturer supplies a common product to two independent retailers, who in turn use service as well as retail price to directly compete for end customers.</x:v>
      </x:c>
      <x:c r="S28" s="42" t="str">
        <x:v>现实现象→参与者与机制→效用/利润/约束→均衡或结构参数→比较静态→经验/数值校准→机制含义</x:v>
      </x:c>
      <x:c r="T28" s="42" t="str">
        <x:v>以“Merger and Competition Analysis”为对象，采用解析建模，属于解析型/机制解释研究；具体识别、模型与数据细节以全文复核为准。</x:v>
      </x:c>
      <x:c r="U28" s="42" t="str">
        <x:v>abstract</x:v>
      </x:c>
      <x:c r="V28" s="42" t="str">
        <x:v>待逐篇全文复核</x:v>
      </x:c>
      <x:c r="W28" s="42" t="str">
        <x:v>https://doi.org/10.1287/msom.2.4.372.12342</x:v>
      </x:c>
      <x:c r="X28" s="42" t="str">
        <x:v>https://openalex.org/W2104052944</x:v>
      </x:c>
      <x:c r="Y28" s="43" t="str">
        <x:v>This paper studies a distribution system in which a manufacturer supplies a common product to two independent retailers, who in turn use service as well as retail price to directly compete for end customers. We examine the drivers of each firm's strategy, and the consequences for total sales, market share, and profitability. We show that the relative intensity of competition with respect to each competitive…</x:v>
      </x:c>
    </x:row>
    <x:row r="29" ht="42" customHeight="1">
      <x:c r="A29" s="41" t="str">
        <x:v>P025</x:v>
      </x:c>
      <x:c r="B29" s="42" t="str">
        <x:v>classic_high_cited</x:v>
      </x:c>
      <x:c r="C29" s="42" t="str">
        <x:v>Manufacturing &amp; Service Operations Management</x:v>
      </x:c>
      <x:c r="D29" s="42" t="str">
        <x:v>制造与服务运营</x:v>
      </x:c>
      <x:c r="E29" s="42" t="str">
        <x:v>OM Forum—Distributed Ledgers and Operations: What Operations Management Researchers Should Know About Blockchain Technology</x:v>
      </x:c>
      <x:c r="F29" s="42" t="str">
        <x:v>Volodymyr Babich; Gilles Hilary</x:v>
      </x:c>
      <x:c r="G29" s="48" t="n">
        <x:v>2019</x:v>
      </x:c>
      <x:c r="H29" s="42" t="str">
        <x:v>10.1287/msom.2018.0752</x:v>
      </x:c>
      <x:c r="I29" s="51" t="n">
        <x:v>765</x:v>
      </x:c>
      <x:c r="J29" s="51" t="n">
        <x:v>347</x:v>
      </x:c>
      <x:c r="K29" s="54" t="n">
        <x:v>137.38</x:v>
      </x:c>
      <x:c r="L29" s="42" t="str">
        <x:v>2026-07-12</x:v>
      </x:c>
      <x:c r="M29" s="42" t="str">
        <x:v>Blockchain Technology Applications and Security</x:v>
      </x:c>
      <x:c r="N29" s="42" t="str">
        <x:v>证据综合型</x:v>
      </x:c>
      <x:c r="O29" s="42" t="str">
        <x:v>综述/理论整合/元分析</x:v>
      </x:c>
      <x:c r="P29" s="42" t="str">
        <x:v>om forum</x:v>
      </x:c>
      <x:c r="Q29" s="42" t="str">
        <x:v>文献与已发表效应量</x:v>
      </x:c>
      <x:c r="R29" s="42" t="str">
        <x:v>摘要未明确；需全文补录具体数据源、样本期与变量定义。</x:v>
      </x:c>
      <x:c r="S29" s="42" t="str">
        <x:v>检索协议→纳排标准→编码→质量/偏倚评估→主题或效应综合→异质性→研究议程</x:v>
      </x:c>
      <x:c r="T29" s="42" t="str">
        <x:v>以“Blockchain Technology Applications and Security”为对象，采用综述/理论整合/元分析，属于证据综合型研究；具体识别、模型与数据细节以全文复核为准。</x:v>
      </x:c>
      <x:c r="U29" s="42" t="str">
        <x:v>abstract</x:v>
      </x:c>
      <x:c r="V29" s="42" t="str">
        <x:v>待逐篇全文复核</x:v>
      </x:c>
      <x:c r="W29" s="42" t="str">
        <x:v>https://doi.org/10.1287/msom.2018.0752</x:v>
      </x:c>
      <x:c r="X29" s="42" t="str">
        <x:v>https://openalex.org/W3022085691</x:v>
      </x:c>
      <x:c r="Y29" s="43" t="str">
        <x:v>Problem definition: Blockchain is a form of distributed ledger technology. While it has grown in prominence, its full potential and possible downsides are not fully understood yet, especially with respect to operations management (OM). Academic/practical relevance: This article fills this gap. Methodology: After briefly reviewing the technical foundations, we explore multiple business and policy aspects. Results: We…</x:v>
      </x:c>
    </x:row>
    <x:row r="30" ht="42" customHeight="1">
      <x:c r="A30" s="41" t="str">
        <x:v>P026</x:v>
      </x:c>
      <x:c r="B30" s="42" t="str">
        <x:v>recent_hot_2021_2025</x:v>
      </x:c>
      <x:c r="C30" s="42" t="str">
        <x:v>Manufacturing &amp; Service Operations Management</x:v>
      </x:c>
      <x:c r="D30" s="42" t="str">
        <x:v>制造与服务运营</x:v>
      </x:c>
      <x:c r="E30" s="42" t="str">
        <x:v>Channel Structures of Online Retail Platforms</x:v>
      </x:c>
      <x:c r="F30" s="42" t="str">
        <x:v>Albert Y. Ha; Shilu Tong; Yunjie Wang</x:v>
      </x:c>
      <x:c r="G30" s="48" t="n">
        <x:v>2021</x:v>
      </x:c>
      <x:c r="H30" s="42" t="str">
        <x:v>10.1287/msom.2021.1011</x:v>
      </x:c>
      <x:c r="I30" s="51" t="n">
        <x:v>413</x:v>
      </x:c>
      <x:c r="J30" s="51" t="n">
        <x:v>292</x:v>
      </x:c>
      <x:c r="K30" s="54" t="n">
        <x:v>129.942</x:v>
      </x:c>
      <x:c r="L30" s="42" t="str">
        <x:v>2026-07-12</x:v>
      </x:c>
      <x:c r="M30" s="42" t="str">
        <x:v>Supply Chain and Inventory Management</x:v>
      </x:c>
      <x:c r="N30" s="42" t="str">
        <x:v>解析型/机制解释</x:v>
      </x:c>
      <x:c r="O30" s="42" t="str">
        <x:v>博弈论/机制与契约</x:v>
      </x:c>
      <x:c r="P30" s="42" t="str">
        <x:v>channel structures; supplier encroachment; retail platforms</x:v>
      </x:c>
      <x:c r="Q30" s="42" t="str">
        <x:v>模型参数/仿真或算例</x:v>
      </x:c>
      <x:c r="R30" s="42" t="str">
        <x:v>Our analysis highlights the flexibility of a dual channel for firms to shift sales between the two channels, which could increase the retail platform’s incentive to exert service effort.</x:v>
      </x:c>
      <x:c r="S30" s="42" t="str">
        <x:v>现实现象→参与者与机制→效用/利润/约束→均衡或结构参数→比较静态→经验/数值校准→机制含义</x:v>
      </x:c>
      <x:c r="T30" s="42" t="str">
        <x:v>以“Supply Chain and Inventory Management”为对象，采用博弈论/机制与契约，属于解析型/机制解释研究；具体识别、模型与数据细节以全文复核为准。</x:v>
      </x:c>
      <x:c r="U30" s="42" t="str">
        <x:v>abstract</x:v>
      </x:c>
      <x:c r="V30" s="42" t="str">
        <x:v>待逐篇全文复核</x:v>
      </x:c>
      <x:c r="W30" s="42" t="str">
        <x:v>https://doi.org/10.1287/msom.2021.1011</x:v>
      </x:c>
      <x:c r="X30" s="42" t="str">
        <x:v>https://openalex.org/W3202937120</x:v>
      </x:c>
      <x:c r="Y30" s="43" t="str">
        <x:v>Problem definition: This paper investigates the channel choice problem of an online platform that exerts service effort to enhance the demand in its sales channels. Academic/practical relevance: In the existing literature on the channel structure of an online retail platform, it is usually assumed that a manufacturer sells through either the platform’s agency or reselling channel but not both. In practice, many…</x:v>
      </x:c>
    </x:row>
    <x:row r="31" ht="42" customHeight="1">
      <x:c r="A31" s="41" t="str">
        <x:v>P027</x:v>
      </x:c>
      <x:c r="B31" s="42" t="str">
        <x:v>recent_hot_2021_2025</x:v>
      </x:c>
      <x:c r="C31" s="42" t="str">
        <x:v>Manufacturing &amp; Service Operations Management</x:v>
      </x:c>
      <x:c r="D31" s="42" t="str">
        <x:v>制造与服务运营</x:v>
      </x:c>
      <x:c r="E31" s="42" t="str">
        <x:v>Can Deep Reinforcement Learning Improve Inventory Management? Performance on Lost Sales, Dual-Sourcing, and Multi-Echelon Problems</x:v>
      </x:c>
      <x:c r="F31" s="42" t="str">
        <x:v>Joren Gijsbrechts; Robert Boute; Jan A. Van Mieghem; Dennis Zhang</x:v>
      </x:c>
      <x:c r="G31" s="48" t="n">
        <x:v>2022</x:v>
      </x:c>
      <x:c r="H31" s="42" t="str">
        <x:v>10.1287/msom.2021.1064</x:v>
      </x:c>
      <x:c r="I31" s="51" t="n">
        <x:v>178</x:v>
      </x:c>
      <x:c r="J31" s="51" t="n">
        <x:v>130</x:v>
      </x:c>
      <x:c r="K31" s="54" t="n">
        <x:v>63.925</x:v>
      </x:c>
      <x:c r="L31" s="42" t="str">
        <x:v>2026-07-12</x:v>
      </x:c>
      <x:c r="M31" s="42" t="str">
        <x:v>Supply Chain and Inventory Management</x:v>
      </x:c>
      <x:c r="N31" s="42" t="str">
        <x:v>预测型/计算型</x:v>
      </x:c>
      <x:c r="O31" s="42" t="str">
        <x:v>机器学习/文本与预测分析</x:v>
      </x:c>
      <x:c r="P31" s="42" t="str">
        <x:v>reinforcement learning; markov decision; dynamic programming; auction</x:v>
      </x:c>
      <x:c r="Q31" s="42" t="str">
        <x:v>观察数据/数字痕迹/文本/时序</x:v>
      </x:c>
      <x:c r="R31" s="42" t="str">
        <x:v>摘要未明确；需全文补录具体数据源、样本期与变量定义。</x:v>
      </x:c>
      <x:c r="S31" s="42" t="str">
        <x:v>预测/分类任务→数据与标签→特征/表示→训练与验证→基线比较→误差与解释→决策/部署约束</x:v>
      </x:c>
      <x:c r="T31" s="42" t="str">
        <x:v>以“Supply Chain and Inventory Management”为对象，采用机器学习/文本与预测分析，属于预测型/计算型研究；具体识别、模型与数据细节以全文复核为准。</x:v>
      </x:c>
      <x:c r="U31" s="42" t="str">
        <x:v>abstract</x:v>
      </x:c>
      <x:c r="V31" s="42" t="str">
        <x:v>待逐篇全文复核</x:v>
      </x:c>
      <x:c r="W31" s="42" t="str">
        <x:v>https://doi.org/10.1287/msom.2021.1064</x:v>
      </x:c>
      <x:c r="X31" s="42" t="str">
        <x:v>https://openalex.org/W4205375500</x:v>
      </x:c>
      <x:c r="Y31" s="43" t="str">
        <x:v>Problem definition: Is deep reinforcement learning (DRL) effective at solving inventory problems? Academic/practical relevance: Given that DRL has successfully been applied in computer games and robotics, supply chain researchers and companies are interested in its potential in inventory management. We provide a rigorous performance evaluation of DRL in three classic and intractable inventory problems: lost sales,…</x:v>
      </x:c>
    </x:row>
    <x:row r="32" ht="42" customHeight="1">
      <x:c r="A32" s="41" t="str">
        <x:v>P028</x:v>
      </x:c>
      <x:c r="B32" s="42" t="str">
        <x:v>recent_hot_2021_2025</x:v>
      </x:c>
      <x:c r="C32" s="42" t="str">
        <x:v>Manufacturing &amp; Service Operations Management</x:v>
      </x:c>
      <x:c r="D32" s="42" t="str">
        <x:v>制造与服务运营</x:v>
      </x:c>
      <x:c r="E32" s="42" t="str">
        <x:v>Information Sharing on Retail Platforms</x:v>
      </x:c>
      <x:c r="F32" s="42" t="str">
        <x:v>Zekun Liu; Dennis Zhang; Fuqiang Zhang</x:v>
      </x:c>
      <x:c r="G32" s="48" t="n">
        <x:v>2021</x:v>
      </x:c>
      <x:c r="H32" s="42" t="str">
        <x:v>10.1287/msom.2020.0915</x:v>
      </x:c>
      <x:c r="I32" s="51" t="n">
        <x:v>223</x:v>
      </x:c>
      <x:c r="J32" s="51" t="n">
        <x:v>141</x:v>
      </x:c>
      <x:c r="K32" s="54" t="n">
        <x:v>63.546</x:v>
      </x:c>
      <x:c r="L32" s="42" t="str">
        <x:v>2026-07-12</x:v>
      </x:c>
      <x:c r="M32" s="42" t="str">
        <x:v>Auction Theory and Applications</x:v>
      </x:c>
      <x:c r="N32" s="42" t="str">
        <x:v>解析型/机制解释</x:v>
      </x:c>
      <x:c r="O32" s="42" t="str">
        <x:v>博弈论/机制与契约</x:v>
      </x:c>
      <x:c r="P32" s="42" t="str">
        <x:v>auction; retail platforms; information sharing</x:v>
      </x:c>
      <x:c r="Q32" s="42" t="str">
        <x:v>模型参数/仿真或算例</x:v>
      </x:c>
      <x:c r="R32" s="42" t="str">
        <x:v>摘要未明确；需全文补录具体数据源、样本期与变量定义。</x:v>
      </x:c>
      <x:c r="S32" s="42" t="str">
        <x:v>现实现象→参与者与机制→效用/利润/约束→均衡或结构参数→比较静态→经验/数值校准→机制含义</x:v>
      </x:c>
      <x:c r="T32" s="42" t="str">
        <x:v>以“Auction Theory and Applications”为对象，采用博弈论/机制与契约，属于解析型/机制解释研究；具体识别、模型与数据细节以全文复核为准。</x:v>
      </x:c>
      <x:c r="U32" s="42" t="str">
        <x:v>abstract</x:v>
      </x:c>
      <x:c r="V32" s="42" t="str">
        <x:v>待逐篇全文复核</x:v>
      </x:c>
      <x:c r="W32" s="42" t="str">
        <x:v>https://doi.org/10.1287/msom.2020.0915</x:v>
      </x:c>
      <x:c r="X32" s="42" t="str">
        <x:v>https://openalex.org/W3123613335</x:v>
      </x:c>
      <x:c r="Y32" s="43" t="str">
        <x:v>Problem definition : This paper studies the information-sharing strategy for a retail platform on which multiple competing sellers distribute their products. Academic/practical relevance : Because of the rapid growth of retail platforms in recent years, information sharing has become an increasingly important issue because retail platforms can gather an enormous amount of consumer information that may not be visible…</x:v>
      </x:c>
    </x:row>
    <x:row r="33" ht="42" customHeight="1">
      <x:c r="A33" s="41" t="str">
        <x:v>P029</x:v>
      </x:c>
      <x:c r="B33" s="42" t="str">
        <x:v>recent_hot_2021_2025</x:v>
      </x:c>
      <x:c r="C33" s="42" t="str">
        <x:v>Manufacturing &amp; Service Operations Management</x:v>
      </x:c>
      <x:c r="D33" s="42" t="str">
        <x:v>制造与服务运营</x:v>
      </x:c>
      <x:c r="E33" s="42" t="str">
        <x:v>A Deep Q-Network for the Beer Game: Deep Reinforcement Learning for Inventory Optimization</x:v>
      </x:c>
      <x:c r="F33" s="42" t="str">
        <x:v>Afshin Oroojlooyjadid; Mohammadreza Nazari; Lawrence Snyder; Martin Takáč</x:v>
      </x:c>
      <x:c r="G33" s="48" t="n">
        <x:v>2021</x:v>
      </x:c>
      <x:c r="H33" s="42" t="str">
        <x:v>10.1287/msom.2020.0939</x:v>
      </x:c>
      <x:c r="I33" s="51" t="n">
        <x:v>225</x:v>
      </x:c>
      <x:c r="J33" s="51" t="n">
        <x:v>137</x:v>
      </x:c>
      <x:c r="K33" s="54" t="n">
        <x:v>61.963</x:v>
      </x:c>
      <x:c r="L33" s="42" t="str">
        <x:v>2026-07-12</x:v>
      </x:c>
      <x:c r="M33" s="42" t="str">
        <x:v>Supply Chain and Inventory Management</x:v>
      </x:c>
      <x:c r="N33" s="42" t="str">
        <x:v>预测型/计算型</x:v>
      </x:c>
      <x:c r="O33" s="42" t="str">
        <x:v>机器学习/文本与预测分析</x:v>
      </x:c>
      <x:c r="P33" s="42" t="str">
        <x:v>reinforcement learning</x:v>
      </x:c>
      <x:c r="Q33" s="42" t="str">
        <x:v>观察数据/数字痕迹/文本/时序</x:v>
      </x:c>
      <x:c r="R33" s="42" t="str">
        <x:v>We observe similar results using a real-world data set.</x:v>
      </x:c>
      <x:c r="S33" s="42" t="str">
        <x:v>预测/分类任务→数据与标签→特征/表示→训练与验证→基线比较→误差与解释→决策/部署约束</x:v>
      </x:c>
      <x:c r="T33" s="42" t="str">
        <x:v>以“Supply Chain and Inventory Management”为对象，采用机器学习/文本与预测分析，属于预测型/计算型研究；具体识别、模型与数据细节以全文复核为准。</x:v>
      </x:c>
      <x:c r="U33" s="42" t="str">
        <x:v>abstract</x:v>
      </x:c>
      <x:c r="V33" s="42" t="str">
        <x:v>待逐篇全文复核</x:v>
      </x:c>
      <x:c r="W33" s="42" t="str">
        <x:v>https://doi.org/10.1287/msom.2020.0939</x:v>
      </x:c>
      <x:c r="X33" s="42" t="str">
        <x:v>https://openalex.org/W3132558922</x:v>
      </x:c>
      <x:c r="Y33" s="43" t="str">
        <x:v>Problem definition: The beer game is widely used in supply chain management classes to demonstrate the bullwhip effect and the importance of supply chain coordination. The game is a decentralized, multiagent, cooperative problem that can be modeled as a serial supply chain network in which agents choose order quantities while cooperatively attempting to minimize the network’s total cost, although each agent only…</x:v>
      </x:c>
    </x:row>
    <x:row r="34" ht="42" customHeight="1">
      <x:c r="A34" s="41" t="str">
        <x:v>P030</x:v>
      </x:c>
      <x:c r="B34" s="42" t="str">
        <x:v>recent_hot_2021_2025</x:v>
      </x:c>
      <x:c r="C34" s="42" t="str">
        <x:v>Manufacturing &amp; Service Operations Management</x:v>
      </x:c>
      <x:c r="D34" s="42" t="str">
        <x:v>制造与服务运营</x:v>
      </x:c>
      <x:c r="E34" s="42" t="str">
        <x:v>Value and Design of Traceability-Driven Blockchains</x:v>
      </x:c>
      <x:c r="F34" s="42" t="str">
        <x:v>Yao Cui; Ming Hu; Jingchen Liu</x:v>
      </x:c>
      <x:c r="G34" s="48" t="n">
        <x:v>2023</x:v>
      </x:c>
      <x:c r="H34" s="42" t="str">
        <x:v>10.1287/msom.2022.1161</x:v>
      </x:c>
      <x:c r="I34" s="51" t="n">
        <x:v>144</x:v>
      </x:c>
      <x:c r="J34" s="51" t="n">
        <x:v>112</x:v>
      </x:c>
      <x:c r="K34" s="54" t="n">
        <x:v>61.9</x:v>
      </x:c>
      <x:c r="L34" s="42" t="str">
        <x:v>2026-07-12</x:v>
      </x:c>
      <x:c r="M34" s="42" t="str">
        <x:v>Supply Chain and Inventory Management</x:v>
      </x:c>
      <x:c r="N34" s="42" t="str">
        <x:v>解析型/机制解释</x:v>
      </x:c>
      <x:c r="O34" s="42" t="str">
        <x:v>博弈论/机制与契约</x:v>
      </x:c>
      <x:c r="P34" s="42" t="str">
        <x:v>game theory</x:v>
      </x:c>
      <x:c r="Q34" s="42" t="str">
        <x:v>模型参数/仿真或算例</x:v>
      </x:c>
      <x:c r="R34" s="42" t="str">
        <x:v>In this case, traceability always improves product quality and all firms’ profits and naturally creates a win-win.</x:v>
      </x:c>
      <x:c r="S34" s="42" t="str">
        <x:v>现实现象→参与者与机制→效用/利润/约束→均衡或结构参数→比较静态→经验/数值校准→机制含义</x:v>
      </x:c>
      <x:c r="T34" s="42" t="str">
        <x:v>以“Supply Chain and Inventory Management”为对象，采用博弈论/机制与契约，属于解析型/机制解释研究；具体识别、模型与数据细节以全文复核为准。</x:v>
      </x:c>
      <x:c r="U34" s="42" t="str">
        <x:v>abstract</x:v>
      </x:c>
      <x:c r="V34" s="42" t="str">
        <x:v>待逐篇全文复核</x:v>
      </x:c>
      <x:c r="W34" s="42" t="str">
        <x:v>https://doi.org/10.1287/msom.2022.1161</x:v>
      </x:c>
      <x:c r="X34" s="42" t="str">
        <x:v>https://openalex.org/W4317746726</x:v>
      </x:c>
      <x:c r="Y34" s="43" t="str">
        <x:v>Problem definition: This paper provides a theoretical investigation into the value and design of a traceability-driven blockchain under different supply chain structures. Methodology/results: We use game theory to study the quality contracting equilibrium between one buyer and two suppliers and identify two fundamental functionalities of a traceability-driven blockchain. In serial supply chains, the ability to trace…</x:v>
      </x:c>
    </x:row>
    <x:row r="35" ht="42" customHeight="1">
      <x:c r="A35" s="41" t="str">
        <x:v>P031</x:v>
      </x:c>
      <x:c r="B35" s="42" t="str">
        <x:v>classic_high_cited</x:v>
      </x:c>
      <x:c r="C35" s="42" t="str">
        <x:v>Production and Operations Management</x:v>
      </x:c>
      <x:c r="D35" s="42" t="str">
        <x:v>生产与运营管理</x:v>
      </x:c>
      <x:c r="E35" s="42" t="str">
        <x:v>Managing Disruption Risks in Supply Chains</x:v>
      </x:c>
      <x:c r="F35" s="42" t="str">
        <x:v>Paul R. Kleindorfer; Germaine H. Saad</x:v>
      </x:c>
      <x:c r="G35" s="48" t="n">
        <x:v>2005</x:v>
      </x:c>
      <x:c r="H35" s="42" t="str">
        <x:v>10.1111/j.1937-5956.2005.tb00009.x</x:v>
      </x:c>
      <x:c r="I35" s="51" t="n">
        <x:v>2062</x:v>
      </x:c>
      <x:c r="J35" s="51" t="n">
        <x:v>270</x:v>
      </x:c>
      <x:c r="K35" s="54" t="n">
        <x:v>71.836</x:v>
      </x:c>
      <x:c r="L35" s="42" t="str">
        <x:v>2026-07-12</x:v>
      </x:c>
      <x:c r="M35" s="42" t="str">
        <x:v>Supply Chain Resilience and Risk Management</x:v>
      </x:c>
      <x:c r="N35" s="42" t="str">
        <x:v>理论构建型</x:v>
      </x:c>
      <x:c r="O35" s="42" t="str">
        <x:v>概念/理论构建</x:v>
      </x:c>
      <x:c r="P35" s="42" t="str">
        <x:v>conceptual framework</x:v>
      </x:c>
      <x:c r="Q35" s="42" t="str">
        <x:v>摘要未明确</x:v>
      </x:c>
      <x:c r="R35" s="42" t="str">
        <x:v>We then consider empirical results from a rich data set covering the period 1995–2000 on accidents in the U.</x:v>
      </x:c>
      <x:c r="S35" s="42" t="str">
        <x:v>现象/悖论→概念界定→理论锚点→机制与命题→边界条件→可检验含义→后续验证议程</x:v>
      </x:c>
      <x:c r="T35" s="42" t="str">
        <x:v>以“Supply Chain Resilience and Risk Management”为对象，采用概念/理论构建，属于理论构建型研究；具体识别、模型与数据细节以全文复核为准。</x:v>
      </x:c>
      <x:c r="U35" s="42" t="str">
        <x:v>abstract</x:v>
      </x:c>
      <x:c r="V35" s="42" t="str">
        <x:v>待逐篇全文复核</x:v>
      </x:c>
      <x:c r="W35" s="42" t="str">
        <x:v>https://doi.org/10.1111/j.1937-5956.2005.tb00009.x</x:v>
      </x:c>
      <x:c r="X35" s="42" t="str">
        <x:v>https://openalex.org/W2060068786</x:v>
      </x:c>
      <x:c r="Y35" s="43" t="str">
        <x:v>There are two broad categories of risk affecting supply chain design and management: (1) risks arising from the problems of coordinating supply and demand, and (2) risks arising from disruptions to normal activities. This paper is concerned with the second category of risks, which may arise from natural disasters, from strikes and economic disruptions, and from acts of purposeful agents, including terrorists. The…</x:v>
      </x:c>
    </x:row>
    <x:row r="36" ht="42" customHeight="1">
      <x:c r="A36" s="41" t="str">
        <x:v>P032</x:v>
      </x:c>
      <x:c r="B36" s="42" t="str">
        <x:v>classic_high_cited</x:v>
      </x:c>
      <x:c r="C36" s="42" t="str">
        <x:v>Production and Operations Management</x:v>
      </x:c>
      <x:c r="D36" s="42" t="str">
        <x:v>生产与运营管理</x:v>
      </x:c>
      <x:c r="E36" s="42" t="str">
        <x:v>Sustainable Operations Management</x:v>
      </x:c>
      <x:c r="F36" s="42" t="str">
        <x:v>Paul R. Kleindorfer; Kalyan Singhal; Luk N. VanWassenhove</x:v>
      </x:c>
      <x:c r="G36" s="48" t="n">
        <x:v>2005</x:v>
      </x:c>
      <x:c r="H36" s="42" t="str">
        <x:v>10.1111/j.1937-5956.2005.tb00235.x</x:v>
      </x:c>
      <x:c r="I36" s="51" t="n">
        <x:v>1747</x:v>
      </x:c>
      <x:c r="J36" s="51" t="n">
        <x:v>207</x:v>
      </x:c>
      <x:c r="K36" s="54" t="n">
        <x:v>56.257</x:v>
      </x:c>
      <x:c r="L36" s="42" t="str">
        <x:v>2026-07-12</x:v>
      </x:c>
      <x:c r="M36" s="42" t="str">
        <x:v>Sustainable Supply Chain Management</x:v>
      </x:c>
      <x:c r="N36" s="42" t="str">
        <x:v>证据综合型</x:v>
      </x:c>
      <x:c r="O36" s="42" t="str">
        <x:v>综述/理论整合/元分析</x:v>
      </x:c>
      <x:c r="P36" s="42" t="str">
        <x:v>title_override:sustainable operations management</x:v>
      </x:c>
      <x:c r="Q36" s="42" t="str">
        <x:v>文献与已发表效应量</x:v>
      </x:c>
      <x:c r="R36" s="42" t="str">
        <x:v>摘要未明确；需全文补录具体数据源、样本期与变量定义。</x:v>
      </x:c>
      <x:c r="S36" s="42" t="str">
        <x:v>检索协议→纳排标准→编码→质量/偏倚评估→主题或效应综合→异质性→研究议程</x:v>
      </x:c>
      <x:c r="T36" s="42" t="str">
        <x:v>以“Sustainable Supply Chain Management”为对象，采用综述/理论整合/元分析，属于证据综合型研究；具体识别、模型与数据细节以全文复核为准。</x:v>
      </x:c>
      <x:c r="U36" s="42" t="str">
        <x:v>abstract</x:v>
      </x:c>
      <x:c r="V36" s="42" t="str">
        <x:v>待逐篇全文复核</x:v>
      </x:c>
      <x:c r="W36" s="42" t="str">
        <x:v>https://doi.org/10.1111/j.1937-5956.2005.tb00235.x</x:v>
      </x:c>
      <x:c r="X36" s="42" t="str">
        <x:v>https://openalex.org/W3125199730</x:v>
      </x:c>
      <x:c r="Y36" s="43" t="str">
        <x:v>Operations management researchers and practitioners face new challenges in integrating issues of sustainability with their traditional areas of interest. During the past 20 years, there has been growing pressure on businesses to pay more attention to the environmental and resource consequences of the products and services they offer and the processes they deploy. One symptom of this pressure is the movement towards…</x:v>
      </x:c>
    </x:row>
    <x:row r="37" ht="42" customHeight="1">
      <x:c r="A37" s="41" t="str">
        <x:v>P033</x:v>
      </x:c>
      <x:c r="B37" s="42" t="str">
        <x:v>classic_high_cited</x:v>
      </x:c>
      <x:c r="C37" s="42" t="str">
        <x:v>Production and Operations Management</x:v>
      </x:c>
      <x:c r="D37" s="42" t="str">
        <x:v>生产与运营管理</x:v>
      </x:c>
      <x:c r="E37" s="42" t="str">
        <x:v>An Empirical Analysis of the Effect of Supply Chain Disruptions on Long‐Run Stock Price Performance and Equity Risk of the Firm</x:v>
      </x:c>
      <x:c r="F37" s="42" t="str">
        <x:v>Kevin B. Hendricks; Vinod R. Singhal</x:v>
      </x:c>
      <x:c r="G37" s="48" t="n">
        <x:v>2005</x:v>
      </x:c>
      <x:c r="H37" s="42" t="str">
        <x:v>10.1111/j.1937-5956.2005.tb00008.x</x:v>
      </x:c>
      <x:c r="I37" s="51" t="n">
        <x:v>1306</x:v>
      </x:c>
      <x:c r="J37" s="51" t="n">
        <x:v>181</x:v>
      </x:c>
      <x:c r="K37" s="54" t="n">
        <x:v>47.707</x:v>
      </x:c>
      <x:c r="L37" s="42" t="str">
        <x:v>2026-07-12</x:v>
      </x:c>
      <x:c r="M37" s="42" t="str">
        <x:v>Risk Management in Financial Firms</x:v>
      </x:c>
      <x:c r="N37" s="42" t="str">
        <x:v>实证解释型</x:v>
      </x:c>
      <x:c r="O37" s="42" t="str">
        <x:v>回归/统计实证</x:v>
      </x:c>
      <x:c r="P37" s="42" t="str">
        <x:v>empirical analysis</x:v>
      </x:c>
      <x:c r="Q37" s="42" t="str">
        <x:v>观察性微观/面板/交易数据</x:v>
      </x:c>
      <x:c r="R37" s="42" t="str">
        <x:v>This paper investigates the long‐term stock price effects and equity risk effects of supply chain disruptions based on a sample of 827 disruption announcements made during 1989–2000.</x:v>
      </x:c>
      <x:c r="S37" s="42" t="str">
        <x:v>理论框架→假设→构念/变量→样本与测量→统计模型→信效度/拟合→稳健性→理论与管理含义</x:v>
      </x:c>
      <x:c r="T37" s="42" t="str">
        <x:v>以“Risk Management in Financial Firms”为对象，采用回归/统计实证，属于实证解释型研究；具体识别、模型与数据细节以全文复核为准。</x:v>
      </x:c>
      <x:c r="U37" s="42" t="str">
        <x:v>abstract</x:v>
      </x:c>
      <x:c r="V37" s="42" t="str">
        <x:v>待逐篇全文复核</x:v>
      </x:c>
      <x:c r="W37" s="42" t="str">
        <x:v>https://doi.org/10.1111/j.1937-5956.2005.tb00008.x</x:v>
      </x:c>
      <x:c r="X37" s="42" t="str">
        <x:v>https://openalex.org/W2141640905</x:v>
      </x:c>
      <x:c r="Y37" s="43" t="str">
        <x:v>This paper investigates the long‐term stock price effects and equity risk effects of supply chain disruptions based on a sample of 827 disruption announcements made during 1989–2000. Stock price effects are examined starting one year before through two years after the disruption announcement date. Over this time period the average abnormal stock returns of firms that experienced disruptions is nearly –40%. Much of…</x:v>
      </x:c>
    </x:row>
    <x:row r="38" ht="42" customHeight="1">
      <x:c r="A38" s="41" t="str">
        <x:v>P034</x:v>
      </x:c>
      <x:c r="B38" s="42" t="str">
        <x:v>classic_high_cited</x:v>
      </x:c>
      <x:c r="C38" s="42" t="str">
        <x:v>Production and Operations Management</x:v>
      </x:c>
      <x:c r="D38" s="42" t="str">
        <x:v>生产与运营管理</x:v>
      </x:c>
      <x:c r="E38" s="42" t="str">
        <x:v>Channel Conflict and Coordination in the E‐Commerce Age</x:v>
      </x:c>
      <x:c r="F38" s="42" t="str">
        <x:v>Andy A. Tsay; Narendra Agrawal</x:v>
      </x:c>
      <x:c r="G38" s="48" t="n">
        <x:v>2004</x:v>
      </x:c>
      <x:c r="H38" s="42" t="str">
        <x:v>10.1111/j.1937-5956.2004.tb00147.x</x:v>
      </x:c>
      <x:c r="I38" s="51" t="n">
        <x:v>1037</x:v>
      </x:c>
      <x:c r="J38" s="51" t="n">
        <x:v>153</x:v>
      </x:c>
      <x:c r="K38" s="54" t="n">
        <x:v>38.874</x:v>
      </x:c>
      <x:c r="L38" s="42" t="str">
        <x:v>2026-07-12</x:v>
      </x:c>
      <x:c r="M38" s="42" t="str">
        <x:v>Supply Chain and Inventory Management</x:v>
      </x:c>
      <x:c r="N38" s="42" t="str">
        <x:v>解析型/机制解释</x:v>
      </x:c>
      <x:c r="O38" s="42" t="str">
        <x:v>博弈论/机制与契约</x:v>
      </x:c>
      <x:c r="P38" s="42" t="str">
        <x:v>channel conflict; channel coordination</x:v>
      </x:c>
      <x:c r="Q38" s="42" t="str">
        <x:v>模型参数/仿真或算例</x:v>
      </x:c>
      <x:c r="R38" s="42" t="str">
        <x:v>These include changes in wholesale pricing, paying the reseller a commission for diverting customers toward the direct channel, or conceding the demand fulfillment function entirely to the reseller.</x:v>
      </x:c>
      <x:c r="S38" s="42" t="str">
        <x:v>现实现象→参与者与机制→效用/利润/约束→均衡或结构参数→比较静态→经验/数值校准→机制含义</x:v>
      </x:c>
      <x:c r="T38" s="42" t="str">
        <x:v>以“Supply Chain and Inventory Management”为对象，采用博弈论/机制与契约，属于解析型/机制解释研究；具体识别、模型与数据细节以全文复核为准。</x:v>
      </x:c>
      <x:c r="U38" s="42" t="str">
        <x:v>abstract</x:v>
      </x:c>
      <x:c r="V38" s="42" t="str">
        <x:v>待逐篇全文复核</x:v>
      </x:c>
      <x:c r="W38" s="42" t="str">
        <x:v>https://doi.org/10.1111/j.1937-5956.2004.tb00147.x</x:v>
      </x:c>
      <x:c r="X38" s="42" t="str">
        <x:v>https://openalex.org/W2158264113</x:v>
      </x:c>
      <x:c r="Y38" s="43" t="str">
        <x:v>A number of factors, including developments in Internet‐based commerce and third‐party logistics, have led many companies to consider engaging in direct sales. Such a company may at once be both a supplier to and a direct competitor of any existing reseller partners (e.g., land‐based retailers), which can result in “channel conflict.” This can have momentous implications for distribution strategy. To generate…</x:v>
      </x:c>
    </x:row>
    <x:row r="39" ht="42" customHeight="1">
      <x:c r="A39" s="41" t="str">
        <x:v>P035</x:v>
      </x:c>
      <x:c r="B39" s="42" t="str">
        <x:v>classic_high_cited</x:v>
      </x:c>
      <x:c r="C39" s="42" t="str">
        <x:v>Production and Operations Management</x:v>
      </x:c>
      <x:c r="D39" s="42" t="str">
        <x:v>生产与运营管理</x:v>
      </x:c>
      <x:c r="E39" s="42" t="str">
        <x:v>LEAN AND GREEN? AN EMPIRICAL EXAMINATION OF THE RELATIONSHIP BETWEEN LEAN PRODUCTION AND ENVIRONMENTAL PERFORMANCE</x:v>
      </x:c>
      <x:c r="F39" s="42" t="str">
        <x:v>Andrew A. King; Michael Lenox</x:v>
      </x:c>
      <x:c r="G39" s="48" t="n">
        <x:v>2001</x:v>
      </x:c>
      <x:c r="H39" s="42" t="str">
        <x:v>10.1111/j.1937-5956.2001.tb00373.x</x:v>
      </x:c>
      <x:c r="I39" s="51" t="n">
        <x:v>984</x:v>
      </x:c>
      <x:c r="J39" s="51" t="n">
        <x:v>85</x:v>
      </x:c>
      <x:c r="K39" s="54" t="n">
        <x:v>22.543</x:v>
      </x:c>
      <x:c r="L39" s="42" t="str">
        <x:v>2026-07-12</x:v>
      </x:c>
      <x:c r="M39" s="42" t="str">
        <x:v>Environmental Sustainability in Business</x:v>
      </x:c>
      <x:c r="N39" s="42" t="str">
        <x:v>实证解释型</x:v>
      </x:c>
      <x:c r="O39" s="42" t="str">
        <x:v>回归/统计实证</x:v>
      </x:c>
      <x:c r="P39" s="42" t="str">
        <x:v>empirical analysis; empirical examination</x:v>
      </x:c>
      <x:c r="Q39" s="42" t="str">
        <x:v>观察性微观/面板/交易数据</x:v>
      </x:c>
      <x:c r="R39" s="42" t="str">
        <x:v>摘要未明确；需全文补录具体数据源、样本期与变量定义。</x:v>
      </x:c>
      <x:c r="S39" s="42" t="str">
        <x:v>理论框架→假设→构念/变量→样本与测量→统计模型→信效度/拟合→稳健性→理论与管理含义</x:v>
      </x:c>
      <x:c r="T39" s="42" t="str">
        <x:v>以“Environmental Sustainability in Business”为对象，采用回归/统计实证，属于实证解释型研究；具体识别、模型与数据细节以全文复核为准。</x:v>
      </x:c>
      <x:c r="U39" s="42" t="str">
        <x:v>abstract</x:v>
      </x:c>
      <x:c r="V39" s="42" t="str">
        <x:v>待逐篇全文复核</x:v>
      </x:c>
      <x:c r="W39" s="42" t="str">
        <x:v>https://doi.org/10.1111/j.1937-5956.2001.tb00373.x</x:v>
      </x:c>
      <x:c r="X39" s="42" t="str">
        <x:v>https://openalex.org/W2036417937</x:v>
      </x:c>
      <x:c r="Y39" s="43" t="str">
        <x:v>Lean production may have a significant public good spillover—improved environmental performance. However, empirical evidence of the link between lean production practices and environmental performance has not resolved the nature of the relationship. To explore this issue, we conduct an empirical analysis of the environmental performance of 17,499 U.S. manufacturing establishments during the time period 1991–1996. We…</x:v>
      </x:c>
    </x:row>
    <x:row r="40" ht="42" customHeight="1">
      <x:c r="A40" s="41" t="str">
        <x:v>P036</x:v>
      </x:c>
      <x:c r="B40" s="42" t="str">
        <x:v>recent_hot_2021_2025</x:v>
      </x:c>
      <x:c r="C40" s="42" t="str">
        <x:v>Production and Operations Management</x:v>
      </x:c>
      <x:c r="D40" s="42" t="str">
        <x:v>生产与运营管理</x:v>
      </x:c>
      <x:c r="E40" s="42" t="str">
        <x:v>Disruptive Technologies and Operations Management in the Industry 4.0 Era and Beyond</x:v>
      </x:c>
      <x:c r="F40" s="42" t="str">
        <x:v>Tsan‐Ming Choi; Subodha Kumar; Xiaohang Yue; Hau‐Ling Chan</x:v>
      </x:c>
      <x:c r="G40" s="48" t="n">
        <x:v>2021</x:v>
      </x:c>
      <x:c r="H40" s="42" t="str">
        <x:v>10.1111/poms.13622</x:v>
      </x:c>
      <x:c r="I40" s="51" t="n">
        <x:v>616</x:v>
      </x:c>
      <x:c r="J40" s="51" t="n">
        <x:v>424</x:v>
      </x:c>
      <x:c r="K40" s="54" t="n">
        <x:v>188.906</x:v>
      </x:c>
      <x:c r="L40" s="42" t="str">
        <x:v>2026-07-12</x:v>
      </x:c>
      <x:c r="M40" s="42" t="str">
        <x:v>Blockchain Technology Applications and Security</x:v>
      </x:c>
      <x:c r="N40" s="42" t="str">
        <x:v>证据综合型</x:v>
      </x:c>
      <x:c r="O40" s="42" t="str">
        <x:v>综述/理论整合/元分析</x:v>
      </x:c>
      <x:c r="P40" s="42" t="str">
        <x:v>research agenda</x:v>
      </x:c>
      <x:c r="Q40" s="42" t="str">
        <x:v>文献与已发表效应量</x:v>
      </x:c>
      <x:c r="R40" s="42" t="str">
        <x:v>In the Industry 4.0 era, automation and data analytics emerge as the major forces to enhance efficiency in operations management (OM).</x:v>
      </x:c>
      <x:c r="S40" s="42" t="str">
        <x:v>检索协议→纳排标准→编码→质量/偏倚评估→主题或效应综合→异质性→研究议程</x:v>
      </x:c>
      <x:c r="T40" s="42" t="str">
        <x:v>以“Blockchain Technology Applications and Security”为对象，采用综述/理论整合/元分析，属于证据综合型研究；具体识别、模型与数据细节以全文复核为准。</x:v>
      </x:c>
      <x:c r="U40" s="42" t="str">
        <x:v>abstract</x:v>
      </x:c>
      <x:c r="V40" s="42" t="str">
        <x:v>待逐篇全文复核</x:v>
      </x:c>
      <x:c r="W40" s="42" t="str">
        <x:v>https://doi.org/10.1111/poms.13622</x:v>
      </x:c>
      <x:c r="X40" s="42" t="str">
        <x:v>https://openalex.org/W3212055144</x:v>
      </x:c>
      <x:c r="Y40" s="43" t="str">
        <x:v>In the Industry 4.0 era, automation and data analytics emerge as the major forces to enhance efficiency in operations management (OM). Disruptive technologies, such as artificial intelligence, robotics, blockchain, 3D printing, 5G, Internet‐of‐Thing, digital twins, and augmented reality, are widely applied. They potentially will bring a radical change to real world operations. In this study, we first explore several…</x:v>
      </x:c>
    </x:row>
    <x:row r="41" ht="42" customHeight="1">
      <x:c r="A41" s="41" t="str">
        <x:v>P037</x:v>
      </x:c>
      <x:c r="B41" s="42" t="str">
        <x:v>recent_hot_2021_2025</x:v>
      </x:c>
      <x:c r="C41" s="42" t="str">
        <x:v>Production and Operations Management</x:v>
      </x:c>
      <x:c r="D41" s="42" t="str">
        <x:v>生产与运营管理</x:v>
      </x:c>
      <x:c r="E41" s="42" t="str">
        <x:v>Combating Copycats in the Supply Chain with Permissioned Blockchain Technology</x:v>
      </x:c>
      <x:c r="F41" s="42" t="str">
        <x:v>Bin Shen; Ciwei Dong; Stefan Minner</x:v>
      </x:c>
      <x:c r="G41" s="48" t="n">
        <x:v>2021</x:v>
      </x:c>
      <x:c r="H41" s="42" t="str">
        <x:v>10.1111/poms.13456</x:v>
      </x:c>
      <x:c r="I41" s="51" t="n">
        <x:v>454</x:v>
      </x:c>
      <x:c r="J41" s="51" t="n">
        <x:v>289</x:v>
      </x:c>
      <x:c r="K41" s="54" t="n">
        <x:v>129.742</x:v>
      </x:c>
      <x:c r="L41" s="42" t="str">
        <x:v>2026-07-12</x:v>
      </x:c>
      <x:c r="M41" s="42" t="str">
        <x:v>Blockchain Technology Applications and Security</x:v>
      </x:c>
      <x:c r="N41" s="42" t="str">
        <x:v>解析型/机制解释</x:v>
      </x:c>
      <x:c r="O41" s="42" t="str">
        <x:v>博弈论/机制与契约</x:v>
      </x:c>
      <x:c r="P41" s="42" t="str">
        <x:v>title_override:combating copycats in the supply chain</x:v>
      </x:c>
      <x:c r="Q41" s="42" t="str">
        <x:v>模型参数/仿真或算例</x:v>
      </x:c>
      <x:c r="R41" s="42" t="str">
        <x:v>Although PBT implementation helps novice customers identify product authenticity and the real quality of products, that is, to take advantage of a quality disclosure effect , we show that, if and only if the number of novice customers is large enough, then selling through a PBT retailer can effectively combat copycats.</x:v>
      </x:c>
      <x:c r="S41" s="42" t="str">
        <x:v>现实现象→参与者与机制→效用/利润/约束→均衡或结构参数→比较静态→经验/数值校准→机制含义</x:v>
      </x:c>
      <x:c r="T41" s="42" t="str">
        <x:v>以“Blockchain Technology Applications and Security”为对象，采用博弈论/机制与契约，属于解析型/机制解释研究；具体识别、模型与数据细节以全文复核为准。</x:v>
      </x:c>
      <x:c r="U41" s="42" t="str">
        <x:v>abstract</x:v>
      </x:c>
      <x:c r="V41" s="42" t="str">
        <x:v>待逐篇全文复核</x:v>
      </x:c>
      <x:c r="W41" s="42" t="str">
        <x:v>https://doi.org/10.1111/poms.13456</x:v>
      </x:c>
      <x:c r="X41" s="42" t="str">
        <x:v>https://openalex.org/W3160847767</x:v>
      </x:c>
      <x:c r="Y41" s="43" t="str">
        <x:v>The phenomenon of copycats is common in a wide range of industries. Recently, to indicate product authenticity and combat copycats, many brand name companies (BNCs) have started selling products through retailers. These BNCs deploy a scalable protocol that is integrated into a permissioned blockchain technology (PBT) platform. We examine how PBT combats copycats in the supply chain and how it benefits BNCs. Although…</x:v>
      </x:c>
    </x:row>
    <x:row r="42" ht="42" customHeight="1">
      <x:c r="A42" s="41" t="str">
        <x:v>P038</x:v>
      </x:c>
      <x:c r="B42" s="42" t="str">
        <x:v>recent_hot_2021_2025</x:v>
      </x:c>
      <x:c r="C42" s="42" t="str">
        <x:v>Production and Operations Management</x:v>
      </x:c>
      <x:c r="D42" s="42" t="str">
        <x:v>生产与运营管理</x:v>
      </x:c>
      <x:c r="E42" s="42" t="str">
        <x:v>Blockchain Adoption for Combating Deceptive Counterfeits</x:v>
      </x:c>
      <x:c r="F42" s="42" t="str">
        <x:v>Hubert Pun; Jayashankar M. Swaminathan; Pengwen Hou</x:v>
      </x:c>
      <x:c r="G42" s="48" t="n">
        <x:v>2021</x:v>
      </x:c>
      <x:c r="H42" s="42" t="str">
        <x:v>10.1111/poms.13348</x:v>
      </x:c>
      <x:c r="I42" s="51" t="n">
        <x:v>463</x:v>
      </x:c>
      <x:c r="J42" s="51" t="n">
        <x:v>278</x:v>
      </x:c>
      <x:c r="K42" s="54" t="n">
        <x:v>125.476</x:v>
      </x:c>
      <x:c r="L42" s="42" t="str">
        <x:v>2026-07-12</x:v>
      </x:c>
      <x:c r="M42" s="42" t="str">
        <x:v>Blockchain Technology Applications and Security</x:v>
      </x:c>
      <x:c r="N42" s="42" t="str">
        <x:v>解析型/机制解释</x:v>
      </x:c>
      <x:c r="O42" s="42" t="str">
        <x:v>解析建模</x:v>
      </x:c>
      <x:c r="P42" s="42" t="str">
        <x:v>we model</x:v>
      </x:c>
      <x:c r="Q42" s="42" t="str">
        <x:v>模型参数/仿真或算例</x:v>
      </x:c>
      <x:c r="R42" s="42" t="str">
        <x:v>While both types are important business challenge, deceptive counterfeit has an additional negative impact—customers have a post‐purchase regret if they expect to purchase a real product but ended up with a fake.</x:v>
      </x:c>
      <x:c r="S42" s="42" t="str">
        <x:v>现实现象→参与者与机制→效用/利润/约束→均衡或结构参数→比较静态→经验/数值校准→机制含义</x:v>
      </x:c>
      <x:c r="T42" s="42" t="str">
        <x:v>以“Blockchain Technology Applications and Security”为对象，采用解析建模，属于解析型/机制解释研究；具体识别、模型与数据细节以全文复核为准。</x:v>
      </x:c>
      <x:c r="U42" s="42" t="str">
        <x:v>abstract</x:v>
      </x:c>
      <x:c r="V42" s="42" t="str">
        <x:v>待逐篇全文复核</x:v>
      </x:c>
      <x:c r="W42" s="42" t="str">
        <x:v>https://doi.org/10.1111/poms.13348</x:v>
      </x:c>
      <x:c r="X42" s="42" t="str">
        <x:v>https://openalex.org/W3124510538</x:v>
      </x:c>
      <x:c r="Y42" s="43" t="str">
        <x:v>Counterfeiting is a severe problem in many sectors. There are two types of counterfeits: non‐deceptive and deceptive. While both types are important business challenge, deceptive counterfeit has an additional negative impact—customers have a post‐purchase regret if they expect to purchase a real product but ended up with a fake. The focus of this study is on the setting that relates to deceptive counterfeits. Our…</x:v>
      </x:c>
    </x:row>
    <x:row r="43" ht="42" customHeight="1">
      <x:c r="A43" s="41" t="str">
        <x:v>P039</x:v>
      </x:c>
      <x:c r="B43" s="42" t="str">
        <x:v>recent_hot_2021_2025</x:v>
      </x:c>
      <x:c r="C43" s="42" t="str">
        <x:v>Production and Operations Management</x:v>
      </x:c>
      <x:c r="D43" s="42" t="str">
        <x:v>生产与运营管理</x:v>
      </x:c>
      <x:c r="E43" s="42" t="str">
        <x:v>Supplier Encroachment, Information Sharing, and Channel Structure in Online Retail Platforms</x:v>
      </x:c>
      <x:c r="F43" s="42" t="str">
        <x:v>Albert Y. Ha; Huajiang Luo; Weixin Shang</x:v>
      </x:c>
      <x:c r="G43" s="48" t="n">
        <x:v>2021</x:v>
      </x:c>
      <x:c r="H43" s="42" t="str">
        <x:v>10.1111/poms.13607</x:v>
      </x:c>
      <x:c r="I43" s="51" t="n">
        <x:v>356</x:v>
      </x:c>
      <x:c r="J43" s="51" t="n">
        <x:v>261</x:v>
      </x:c>
      <x:c r="K43" s="54" t="n">
        <x:v>115.861</x:v>
      </x:c>
      <x:c r="L43" s="42" t="str">
        <x:v>2026-07-12</x:v>
      </x:c>
      <x:c r="M43" s="42" t="str">
        <x:v>Supply Chain and Inventory Management</x:v>
      </x:c>
      <x:c r="N43" s="42" t="str">
        <x:v>解析型/机制解释</x:v>
      </x:c>
      <x:c r="O43" s="42" t="str">
        <x:v>博弈论/机制与契约</x:v>
      </x:c>
      <x:c r="P43" s="42" t="str">
        <x:v>supplier encroachment; retail platforms; information sharing</x:v>
      </x:c>
      <x:c r="Q43" s="42" t="str">
        <x:v>模型参数/仿真或算例</x:v>
      </x:c>
      <x:c r="R43" s="42" t="str">
        <x:v>摘要未明确；需全文补录具体数据源、样本期与变量定义。</x:v>
      </x:c>
      <x:c r="S43" s="42" t="str">
        <x:v>现实现象→参与者与机制→效用/利润/约束→均衡或结构参数→比较静态→经验/数值校准→机制含义</x:v>
      </x:c>
      <x:c r="T43" s="42" t="str">
        <x:v>以“Supply Chain and Inventory Management”为对象，采用博弈论/机制与契约，属于解析型/机制解释研究；具体识别、模型与数据细节以全文复核为准。</x:v>
      </x:c>
      <x:c r="U43" s="42" t="str">
        <x:v>abstract</x:v>
      </x:c>
      <x:c r="V43" s="42" t="str">
        <x:v>待逐篇全文复核</x:v>
      </x:c>
      <x:c r="W43" s="42" t="str">
        <x:v>https://doi.org/10.1111/poms.13607</x:v>
      </x:c>
      <x:c r="X43" s="42" t="str">
        <x:v>https://openalex.org/W3208567806</x:v>
      </x:c>
      <x:c r="Y43" s="43" t="str">
        <x:v>In this study, we develop a game‐theoretic model to study the encroachment and information sharing decisions in a supply chain with a manufacturer selling through an online retail platform. In the base model, the manufacturer decides whether to encroach or not by selling through an agency channel, in addition to an existing reselling channel, at the same platform, who decides whether or not to share information with…</x:v>
      </x:c>
    </x:row>
    <x:row r="44" ht="42" customHeight="1">
      <x:c r="A44" s="41" t="str">
        <x:v>P040</x:v>
      </x:c>
      <x:c r="B44" s="42" t="str">
        <x:v>recent_hot_2021_2025</x:v>
      </x:c>
      <x:c r="C44" s="42" t="str">
        <x:v>Production and Operations Management</x:v>
      </x:c>
      <x:c r="D44" s="42" t="str">
        <x:v>生产与运营管理</x:v>
      </x:c>
      <x:c r="E44" s="42" t="str">
        <x:v>How will artificial intelligence and Industry 4.0 emerging technologies transform operations management?</x:v>
      </x:c>
      <x:c r="F44" s="42" t="str">
        <x:v>Sunil Mithas; Zhi‐Long Chen; Terence Saldanha; Alysson De Oliveira Silveira</x:v>
      </x:c>
      <x:c r="G44" s="48" t="n">
        <x:v>2022</x:v>
      </x:c>
      <x:c r="H44" s="42" t="str">
        <x:v>10.1111/poms.13864</x:v>
      </x:c>
      <x:c r="I44" s="51" t="n">
        <x:v>265</x:v>
      </x:c>
      <x:c r="J44" s="51" t="n">
        <x:v>221</x:v>
      </x:c>
      <x:c r="K44" s="54" t="n">
        <x:v>107.231</x:v>
      </x:c>
      <x:c r="L44" s="42" t="str">
        <x:v>2026-07-12</x:v>
      </x:c>
      <x:c r="M44" s="42" t="str">
        <x:v>Digital Transformation in Industry</x:v>
      </x:c>
      <x:c r="N44" s="42" t="str">
        <x:v>证据综合型</x:v>
      </x:c>
      <x:c r="O44" s="42" t="str">
        <x:v>综述/理论整合/元分析</x:v>
      </x:c>
      <x:c r="P44" s="42" t="str">
        <x:v>title_override:how will artificial intelligence and industry 4 0</x:v>
      </x:c>
      <x:c r="Q44" s="42" t="str">
        <x:v>文献与已发表效应量</x:v>
      </x:c>
      <x:c r="R44" s="42" t="str">
        <x:v>摘要未明确；需全文补录具体数据源、样本期与变量定义。</x:v>
      </x:c>
      <x:c r="S44" s="42" t="str">
        <x:v>检索协议→纳排标准→编码→质量/偏倚评估→主题或效应综合→异质性→研究议程</x:v>
      </x:c>
      <x:c r="T44" s="42" t="str">
        <x:v>以“Digital Transformation in Industry”为对象，采用综述/理论整合/元分析，属于证据综合型研究；具体识别、模型与数据细节以全文复核为准。</x:v>
      </x:c>
      <x:c r="U44" s="42" t="str">
        <x:v>abstract</x:v>
      </x:c>
      <x:c r="V44" s="42" t="str">
        <x:v>待逐篇全文复核</x:v>
      </x:c>
      <x:c r="W44" s="42" t="str">
        <x:v>https://doi.org/10.1111/poms.13864</x:v>
      </x:c>
      <x:c r="X44" s="42" t="str">
        <x:v>https://openalex.org/W4295007572</x:v>
      </x:c>
      <x:c r="Y44" s="43" t="str">
        <x:v>Emerging technologies such as artificial intelligence, blockchain, additive manufacturing, advanced robotics, autonomous vehicles, and the Internet of Things are frequently mentioned as part of “Industry 4.0.” As such, how will they influence operations and supply chain management? We answer this question by providing a brief review of the evolution of technologies and operations management (OM) over time. Because…</x:v>
      </x:c>
    </x:row>
    <x:row r="45" ht="42" customHeight="1">
      <x:c r="A45" s="41" t="str">
        <x:v>P041</x:v>
      </x:c>
      <x:c r="B45" s="42" t="str">
        <x:v>classic_high_cited</x:v>
      </x:c>
      <x:c r="C45" s="42" t="str">
        <x:v>Journal of Operations Management</x:v>
      </x:c>
      <x:c r="D45" s="42" t="str">
        <x:v>运营管理实证与理论</x:v>
      </x:c>
      <x:c r="E45" s="42" t="str">
        <x:v>The impact of supply chain integration on performance: A contingency and configuration approach</x:v>
      </x:c>
      <x:c r="F45" s="42" t="str">
        <x:v>Barbara B. Flynn; Baofeng Huo; Xiande Zhao</x:v>
      </x:c>
      <x:c r="G45" s="48" t="n">
        <x:v>2009</x:v>
      </x:c>
      <x:c r="H45" s="42" t="str">
        <x:v>10.1016/j.jom.2009.06.001</x:v>
      </x:c>
      <x:c r="I45" s="51" t="n">
        <x:v>3240</x:v>
      </x:c>
      <x:c r="J45" s="51" t="n">
        <x:v>630</x:v>
      </x:c>
      <x:c r="K45" s="54" t="n">
        <x:v>175.728</x:v>
      </x:c>
      <x:c r="L45" s="42" t="str">
        <x:v>2026-07-12</x:v>
      </x:c>
      <x:c r="M45" s="42" t="str">
        <x:v>Quality and Supply Management</x:v>
      </x:c>
      <x:c r="N45" s="42" t="str">
        <x:v>实证解释型</x:v>
      </x:c>
      <x:c r="O45" s="42" t="str">
        <x:v>回归/统计实证</x:v>
      </x:c>
      <x:c r="P45" s="42" t="str">
        <x:v>regression</x:v>
      </x:c>
      <x:c r="Q45" s="42" t="str">
        <x:v>观察性微观/面板/交易数据</x:v>
      </x:c>
      <x:c r="R45" s="42" t="str">
        <x:v>摘要未明确；需全文补录具体数据源、样本期与变量定义。</x:v>
      </x:c>
      <x:c r="S45" s="42" t="str">
        <x:v>理论框架→假设→构念/变量→样本与测量→统计模型→信效度/拟合→稳健性→理论与管理含义</x:v>
      </x:c>
      <x:c r="T45" s="42" t="str">
        <x:v>以“Quality and Supply Management”为对象，采用回归/统计实证，属于实证解释型研究；具体识别、模型与数据细节以全文复核为准。</x:v>
      </x:c>
      <x:c r="U45" s="42" t="str">
        <x:v>abstract</x:v>
      </x:c>
      <x:c r="V45" s="42" t="str">
        <x:v>待逐篇全文复核</x:v>
      </x:c>
      <x:c r="W45" s="42" t="str">
        <x:v>https://doi.org/10.1016/j.jom.2009.06.001</x:v>
      </x:c>
      <x:c r="X45" s="42" t="str">
        <x:v>https://openalex.org/W2059663374</x:v>
      </x:c>
      <x:c r="Y45" s="43" t="str">
        <x:v>Abstract This study extends the developing body of literature on supply chain integration (SCI), which is the degree to which a manufacturer strategically collaborates with its supply chain partners and collaboratively manages intra‐ and inter‐organizational processes, in order to achieve effective and efficient flows of products and services, information, money and decisions, to provide maximum value to the…</x:v>
      </x:c>
    </x:row>
    <x:row r="46" ht="42" customHeight="1">
      <x:c r="A46" s="41" t="str">
        <x:v>P042</x:v>
      </x:c>
      <x:c r="B46" s="42" t="str">
        <x:v>classic_high_cited</x:v>
      </x:c>
      <x:c r="C46" s="42" t="str">
        <x:v>Journal of Operations Management</x:v>
      </x:c>
      <x:c r="D46" s="42" t="str">
        <x:v>运营管理实证与理论</x:v>
      </x:c>
      <x:c r="E46" s="42" t="str">
        <x:v>Lean manufacturing: context, practice bundles, and performance</x:v>
      </x:c>
      <x:c r="F46" s="42" t="str">
        <x:v>Rachna Shah; Peter T. Ward</x:v>
      </x:c>
      <x:c r="G46" s="48" t="n">
        <x:v>2002</x:v>
      </x:c>
      <x:c r="H46" s="42" t="str">
        <x:v>10.1016/s0272-6963(02)00108-0</x:v>
      </x:c>
      <x:c r="I46" s="51" t="n">
        <x:v>2867</x:v>
      </x:c>
      <x:c r="J46" s="51" t="n">
        <x:v>272</x:v>
      </x:c>
      <x:c r="K46" s="54" t="n">
        <x:v>71.802</x:v>
      </x:c>
      <x:c r="L46" s="42" t="str">
        <x:v>2026-07-12</x:v>
      </x:c>
      <x:c r="M46" s="42" t="str">
        <x:v>Quality and Supply Management</x:v>
      </x:c>
      <x:c r="N46" s="42" t="str">
        <x:v>实证解释型</x:v>
      </x:c>
      <x:c r="O46" s="42" t="str">
        <x:v>回归/统计实证</x:v>
      </x:c>
      <x:c r="P46" s="42" t="str">
        <x:v>title_override:lean manufacturing context practice bundles</x:v>
      </x:c>
      <x:c r="Q46" s="42" t="str">
        <x:v>观察性微观/面板/交易数据</x:v>
      </x:c>
      <x:c r="R46" s="42" t="str">
        <x:v>The study sample uses data from IndustryWeek ’s Census of Manufacturers.</x:v>
      </x:c>
      <x:c r="S46" s="42" t="str">
        <x:v>理论框架→假设→构念/变量→样本与测量→统计模型→信效度/拟合→稳健性→理论与管理含义</x:v>
      </x:c>
      <x:c r="T46" s="42" t="str">
        <x:v>以“Quality and Supply Management”为对象，采用回归/统计实证，属于实证解释型研究；具体识别、模型与数据细节以全文复核为准。</x:v>
      </x:c>
      <x:c r="U46" s="42" t="str">
        <x:v>abstract</x:v>
      </x:c>
      <x:c r="V46" s="42" t="str">
        <x:v>待逐篇全文复核</x:v>
      </x:c>
      <x:c r="W46" s="42" t="str">
        <x:v>https://doi.org/10.1016/s0272-6963(02)00108-0</x:v>
      </x:c>
      <x:c r="X46" s="42" t="str">
        <x:v>https://openalex.org/W1984103729</x:v>
      </x:c>
      <x:c r="Y46" s="43" t="str">
        <x:v>Abstract Management literature has suggested that contextual factors may present strong inertial forces within organizations that inhibit implementations that appear technically rational [R.R. Nelson, S.G. Winter, An Evolutionary Theory of Economic Change, Harvard University Press, Cambridge, MA, 1982]. This paper examines the effects of three contextual factors, plant size, plant age and unionization status, on the…</x:v>
      </x:c>
    </x:row>
    <x:row r="47" ht="42" customHeight="1">
      <x:c r="A47" s="41" t="str">
        <x:v>P043</x:v>
      </x:c>
      <x:c r="B47" s="42" t="str">
        <x:v>classic_high_cited</x:v>
      </x:c>
      <x:c r="C47" s="42" t="str">
        <x:v>Journal of Operations Management</x:v>
      </x:c>
      <x:c r="D47" s="42" t="str">
        <x:v>运营管理实证与理论</x:v>
      </x:c>
      <x:c r="E47" s="42" t="str">
        <x:v>Relationships between operational practices and performance among early adopters of green supply chain management practices in Chinese manufacturing enterprises</x:v>
      </x:c>
      <x:c r="F47" s="42" t="str">
        <x:v>Qinghua Zhu; Joseph Sarkis</x:v>
      </x:c>
      <x:c r="G47" s="48" t="n">
        <x:v>2004</x:v>
      </x:c>
      <x:c r="H47" s="42" t="str">
        <x:v>10.1016/j.jom.2004.01.005</x:v>
      </x:c>
      <x:c r="I47" s="51" t="n">
        <x:v>2632</x:v>
      </x:c>
      <x:c r="J47" s="51" t="n">
        <x:v>372</x:v>
      </x:c>
      <x:c r="K47" s="54" t="n">
        <x:v>94.941</x:v>
      </x:c>
      <x:c r="L47" s="42" t="str">
        <x:v>2026-07-12</x:v>
      </x:c>
      <x:c r="M47" s="42" t="str">
        <x:v>Sustainable Supply Chain Management</x:v>
      </x:c>
      <x:c r="N47" s="42" t="str">
        <x:v>实证解释型</x:v>
      </x:c>
      <x:c r="O47" s="42" t="str">
        <x:v>回归/统计实证</x:v>
      </x:c>
      <x:c r="P47" s="42" t="str">
        <x:v>regression</x:v>
      </x:c>
      <x:c r="Q47" s="42" t="str">
        <x:v>观察性微观/面板/交易数据</x:v>
      </x:c>
      <x:c r="R47" s="42" t="str">
        <x:v>摘要未明确；需全文补录具体数据源、样本期与变量定义。</x:v>
      </x:c>
      <x:c r="S47" s="42" t="str">
        <x:v>理论框架→假设→构念/变量→样本与测量→统计模型→信效度/拟合→稳健性→理论与管理含义</x:v>
      </x:c>
      <x:c r="T47" s="42" t="str">
        <x:v>以“Sustainable Supply Chain Management”为对象，采用回归/统计实证，属于实证解释型研究；具体识别、模型与数据细节以全文复核为准。</x:v>
      </x:c>
      <x:c r="U47" s="42" t="str">
        <x:v>abstract</x:v>
      </x:c>
      <x:c r="V47" s="42" t="str">
        <x:v>待逐篇全文复核</x:v>
      </x:c>
      <x:c r="W47" s="42" t="str">
        <x:v>https://doi.org/10.1016/j.jom.2004.01.005</x:v>
      </x:c>
      <x:c r="X47" s="42" t="str">
        <x:v>https://openalex.org/W2090838176</x:v>
      </x:c>
      <x:c r="Y47" s="43" t="str">
        <x:v>Abstract Globalization results in both pressure and drivers for Chinese enterprises to improve their environmental performance. As a developing country, China has to balance economic and environmental performance. Green supply chain management (GSCM) is emerging to be an important approach for Chinese enterprises to improve performance, possibly on both these dimensions. Using empirical results from 186 respondents…</x:v>
      </x:c>
    </x:row>
    <x:row r="48" ht="42" customHeight="1">
      <x:c r="A48" s="41" t="str">
        <x:v>P044</x:v>
      </x:c>
      <x:c r="B48" s="42" t="str">
        <x:v>classic_high_cited</x:v>
      </x:c>
      <x:c r="C48" s="42" t="str">
        <x:v>Journal of Operations Management</x:v>
      </x:c>
      <x:c r="D48" s="42" t="str">
        <x:v>运营管理实证与理论</x:v>
      </x:c>
      <x:c r="E48" s="42" t="str">
        <x:v>Arcs of integration: an international study of supply chain strategies</x:v>
      </x:c>
      <x:c r="F48" s="42" t="str">
        <x:v>Markham T. Frohlich; Roy Westbrook</x:v>
      </x:c>
      <x:c r="G48" s="48" t="n">
        <x:v>2001</x:v>
      </x:c>
      <x:c r="H48" s="42" t="str">
        <x:v>10.1016/s0272-6963(00)00055-3</x:v>
      </x:c>
      <x:c r="I48" s="51" t="n">
        <x:v>2531</x:v>
      </x:c>
      <x:c r="J48" s="51" t="n">
        <x:v>155</x:v>
      </x:c>
      <x:c r="K48" s="54" t="n">
        <x:v>45.196</x:v>
      </x:c>
      <x:c r="L48" s="42" t="str">
        <x:v>2026-07-12</x:v>
      </x:c>
      <x:c r="M48" s="42" t="str">
        <x:v>Quality and Supply Management</x:v>
      </x:c>
      <x:c r="N48" s="42" t="str">
        <x:v>实证解释型</x:v>
      </x:c>
      <x:c r="O48" s="42" t="str">
        <x:v>结构方程/问卷实证</x:v>
      </x:c>
      <x:c r="P48" s="42" t="str">
        <x:v>title_override:arcs of integration an international study</x:v>
      </x:c>
      <x:c r="Q48" s="42" t="str">
        <x:v>问卷/量表数据</x:v>
      </x:c>
      <x:c r="R48" s="42" t="str">
        <x:v>Abstract Though there is a wide acceptance of the strategic importance of integrating operations with suppliers and customers in supply chains, many questions remain unanswered about how best to characterize supply chain strategies.</x:v>
      </x:c>
      <x:c r="S48" s="42" t="str">
        <x:v>理论框架→假设→构念/变量→样本与测量→统计模型→信效度/拟合→稳健性→理论与管理含义</x:v>
      </x:c>
      <x:c r="T48" s="42" t="str">
        <x:v>以“Quality and Supply Management”为对象，采用结构方程/问卷实证，属于实证解释型研究；具体识别、模型与数据细节以全文复核为准。</x:v>
      </x:c>
      <x:c r="U48" s="42" t="str">
        <x:v>abstract</x:v>
      </x:c>
      <x:c r="V48" s="42" t="str">
        <x:v>待逐篇全文复核</x:v>
      </x:c>
      <x:c r="W48" s="42" t="str">
        <x:v>https://doi.org/10.1016/s0272-6963(00)00055-3</x:v>
      </x:c>
      <x:c r="X48" s="42" t="str">
        <x:v>https://openalex.org/W2142318226</x:v>
      </x:c>
      <x:c r="Y48" s="43" t="str">
        <x:v>Abstract Though there is a wide acceptance of the strategic importance of integrating operations with suppliers and customers in supply chains, many questions remain unanswered about how best to characterize supply chain strategies. Is it more important to link with suppliers, customers, or both? Similarly, we know little about the connections between supplier and customer integration and improved operations…</x:v>
      </x:c>
    </x:row>
    <x:row r="49" ht="42" customHeight="1">
      <x:c r="A49" s="41" t="str">
        <x:v>P045</x:v>
      </x:c>
      <x:c r="B49" s="42" t="str">
        <x:v>classic_high_cited</x:v>
      </x:c>
      <x:c r="C49" s="42" t="str">
        <x:v>Journal of Operations Management</x:v>
      </x:c>
      <x:c r="D49" s="42" t="str">
        <x:v>运营管理实证与理论</x:v>
      </x:c>
      <x:c r="E49" s="42" t="str">
        <x:v>Towards a theory of supply chain management: the constructs and measurements</x:v>
      </x:c>
      <x:c r="F49" s="42" t="str">
        <x:v>Injazz J. Chen; Antony Paulraj</x:v>
      </x:c>
      <x:c r="G49" s="48" t="n">
        <x:v>2004</x:v>
      </x:c>
      <x:c r="H49" s="42" t="str">
        <x:v>10.1016/j.jom.2003.12.007</x:v>
      </x:c>
      <x:c r="I49" s="51" t="n">
        <x:v>2418</x:v>
      </x:c>
      <x:c r="J49" s="51" t="n">
        <x:v>228</x:v>
      </x:c>
      <x:c r="K49" s="54" t="n">
        <x:v>63.519</x:v>
      </x:c>
      <x:c r="L49" s="42" t="str">
        <x:v>2026-07-12</x:v>
      </x:c>
      <x:c r="M49" s="42" t="str">
        <x:v>Quality and Supply Management</x:v>
      </x:c>
      <x:c r="N49" s="42" t="str">
        <x:v>实证解释型</x:v>
      </x:c>
      <x:c r="O49" s="42" t="str">
        <x:v>结构方程/问卷实证</x:v>
      </x:c>
      <x:c r="P49" s="42" t="str">
        <x:v>constructs and measurements</x:v>
      </x:c>
      <x:c r="Q49" s="42" t="str">
        <x:v>问卷/量表数据</x:v>
      </x:c>
      <x:c r="R49" s="42" t="str">
        <x:v>Abstract Rising international cooperation, vertical disintegration, along with a focus on core activities have led to the notion that firms are links in a networked supply chain.</x:v>
      </x:c>
      <x:c r="S49" s="42" t="str">
        <x:v>理论框架→假设→构念/变量→样本与测量→统计模型→信效度/拟合→稳健性→理论与管理含义</x:v>
      </x:c>
      <x:c r="T49" s="42" t="str">
        <x:v>以“Quality and Supply Management”为对象，采用结构方程/问卷实证，属于实证解释型研究；具体识别、模型与数据细节以全文复核为准。</x:v>
      </x:c>
      <x:c r="U49" s="42" t="str">
        <x:v>abstract</x:v>
      </x:c>
      <x:c r="V49" s="42" t="str">
        <x:v>待逐篇全文复核</x:v>
      </x:c>
      <x:c r="W49" s="42" t="str">
        <x:v>https://doi.org/10.1016/j.jom.2003.12.007</x:v>
      </x:c>
      <x:c r="X49" s="42" t="str">
        <x:v>https://openalex.org/W2117286234</x:v>
      </x:c>
      <x:c r="Y49" s="43" t="str">
        <x:v>Abstract Rising international cooperation, vertical disintegration, along with a focus on core activities have led to the notion that firms are links in a networked supply chain. This novel perspective has created the challenge of designing and managing a network of interdependent relationships developed and fostered through strategic collaboration. Although research interests in supply chain management (SCM) are…</x:v>
      </x:c>
    </x:row>
    <x:row r="50" ht="42" customHeight="1">
      <x:c r="A50" s="41" t="str">
        <x:v>P046</x:v>
      </x:c>
      <x:c r="B50" s="42" t="str">
        <x:v>recent_hot_2021_2025</x:v>
      </x:c>
      <x:c r="C50" s="42" t="str">
        <x:v>Journal of Operations Management</x:v>
      </x:c>
      <x:c r="D50" s="42" t="str">
        <x:v>运营管理实证与理论</x:v>
      </x:c>
      <x:c r="E50" s="42" t="str">
        <x:v>Strengthening supply chain resilience during COVID‐19: A case study of JD.com</x:v>
      </x:c>
      <x:c r="F50" s="42" t="str">
        <x:v>Zuo‐Jun Max Shen; Yiqi Sun</x:v>
      </x:c>
      <x:c r="G50" s="48" t="n">
        <x:v>2021</x:v>
      </x:c>
      <x:c r="H50" s="42" t="str">
        <x:v>10.1002/joom.1161</x:v>
      </x:c>
      <x:c r="I50" s="51" t="n">
        <x:v>352</x:v>
      </x:c>
      <x:c r="J50" s="51" t="n">
        <x:v>258</x:v>
      </x:c>
      <x:c r="K50" s="54" t="n">
        <x:v>114.536</x:v>
      </x:c>
      <x:c r="L50" s="42" t="str">
        <x:v>2026-07-12</x:v>
      </x:c>
      <x:c r="M50" s="42" t="str">
        <x:v>Supply Chain Resilience and Risk Management</x:v>
      </x:c>
      <x:c r="N50" s="42" t="str">
        <x:v>探索/理论生成型</x:v>
      </x:c>
      <x:c r="O50" s="42" t="str">
        <x:v>定性/案例研究</x:v>
      </x:c>
      <x:c r="P50" s="42" t="str">
        <x:v>case study</x:v>
      </x:c>
      <x:c r="Q50" s="42" t="str">
        <x:v>访谈、档案或案例材料</x:v>
      </x:c>
      <x:c r="R50" s="42" t="str">
        <x:v>Using quantitative operational data obtained from JD.com https://www.jd.com ., this study analyzes the impact of the pandemic on supply chain resilience, summarizes the challenging scenarios that retailing supply chains experienced in China, and presents the practical response of JD.com throughout the pandemic.</x:v>
      </x:c>
      <x:c r="S50" s="42" t="str">
        <x:v>现象与案例选择→资料采集→开放编码→范畴/机制→跨案例比较→理论命题→边界条件</x:v>
      </x:c>
      <x:c r="T50" s="42" t="str">
        <x:v>以“Supply Chain Resilience and Risk Management”为对象，采用定性/案例研究，属于探索/理论生成型研究；具体识别、模型与数据细节以全文复核为准。</x:v>
      </x:c>
      <x:c r="U50" s="42" t="str">
        <x:v>abstract</x:v>
      </x:c>
      <x:c r="V50" s="42" t="str">
        <x:v>待逐篇全文复核</x:v>
      </x:c>
      <x:c r="W50" s="42" t="str">
        <x:v>https://doi.org/10.1002/joom.1161</x:v>
      </x:c>
      <x:c r="X50" s="42" t="str">
        <x:v>https://openalex.org/W3207270226</x:v>
      </x:c>
      <x:c r="Y50" s="43" t="str">
        <x:v>Abstract The coronavirus/SARS‐CoV‐2 (COVID‐19) outbreak has caused severe supply chain disruptions in practically all industries worldwide. Online e‐commerce platforms, which interact directly with various industries and service numerous consumers, have become remarkable interfaces to observe the impacts of the pandemic on supply chains. Using quantitative operational data obtained from JD.com https://www.jd.com .,…</x:v>
      </x:c>
    </x:row>
    <x:row r="51" ht="42" customHeight="1">
      <x:c r="A51" s="41" t="str">
        <x:v>P047</x:v>
      </x:c>
      <x:c r="B51" s="42" t="str">
        <x:v>recent_hot_2021_2025</x:v>
      </x:c>
      <x:c r="C51" s="42" t="str">
        <x:v>Journal of Operations Management</x:v>
      </x:c>
      <x:c r="D51" s="42" t="str">
        <x:v>运营管理实证与理论</x:v>
      </x:c>
      <x:c r="E51" s="42" t="str">
        <x:v>Antecedent configurations toward supply chain resilience: The joint impact of supply chain integration and big data analytics capability</x:v>
      </x:c>
      <x:c r="F51" s="42" t="str">
        <x:v>Yisa Jiang; Taiwen Feng; Yufei Huang</x:v>
      </x:c>
      <x:c r="G51" s="48" t="n">
        <x:v>2023</x:v>
      </x:c>
      <x:c r="H51" s="42" t="str">
        <x:v>10.1002/joom.1282</x:v>
      </x:c>
      <x:c r="I51" s="51" t="n">
        <x:v>212</x:v>
      </x:c>
      <x:c r="J51" s="51" t="n">
        <x:v>212</x:v>
      </x:c>
      <x:c r="K51" s="54" t="n">
        <x:v>114.45</x:v>
      </x:c>
      <x:c r="L51" s="42" t="str">
        <x:v>2026-07-12</x:v>
      </x:c>
      <x:c r="M51" s="42" t="str">
        <x:v>Supply Chain Resilience and Risk Management</x:v>
      </x:c>
      <x:c r="N51" s="42" t="str">
        <x:v>因果解释型</x:v>
      </x:c>
      <x:c r="O51" s="42" t="str">
        <x:v>因果推断/计量经济学</x:v>
      </x:c>
      <x:c r="P51" s="42" t="str">
        <x:v>propensity score; survey data; machine learning; robustness; case study</x:v>
      </x:c>
      <x:c r="Q51" s="42" t="str">
        <x:v>观察性微观/面板/交易数据</x:v>
      </x:c>
      <x:c r="R51" s="42" t="str">
        <x:v>Based on a case study and resource orchestration theory, this article focuses on configurations of different antecedents regarding supply chain integration and big data analytics capability to develop proactive and reactive SCR.</x:v>
      </x:c>
      <x:c r="S51" s="42" t="str">
        <x:v>理论机制→可检验假设→识别设计→样本与变量→估计→平行趋势/有效性→稳健性→机制与异质性</x:v>
      </x:c>
      <x:c r="T51" s="42" t="str">
        <x:v>以“Supply Chain Resilience and Risk Management”为对象，采用因果推断/计量经济学，属于因果解释型研究；具体识别、模型与数据细节以全文复核为准。</x:v>
      </x:c>
      <x:c r="U51" s="42" t="str">
        <x:v>abstract</x:v>
      </x:c>
      <x:c r="V51" s="42" t="str">
        <x:v>待逐篇全文复核</x:v>
      </x:c>
      <x:c r="W51" s="42" t="str">
        <x:v>https://doi.org/10.1002/joom.1282</x:v>
      </x:c>
      <x:c r="X51" s="42" t="str">
        <x:v>https://openalex.org/W4389870953</x:v>
      </x:c>
      <x:c r="Y51" s="43" t="str">
        <x:v>Abstract Many antecedents identified as essential to supply chain resilience (SCR) are often studied independently, without considering their synergistic effects. Based on a case study and resource orchestration theory, this article focuses on configurations of different antecedents regarding supply chain integration and big data analytics capability to develop proactive and reactive SCR. Using survey data from 277…</x:v>
      </x:c>
    </x:row>
    <x:row r="52" ht="42" customHeight="1">
      <x:c r="A52" s="41" t="str">
        <x:v>P048</x:v>
      </x:c>
      <x:c r="B52" s="42" t="str">
        <x:v>recent_hot_2021_2025</x:v>
      </x:c>
      <x:c r="C52" s="42" t="str">
        <x:v>Journal of Operations Management</x:v>
      </x:c>
      <x:c r="D52" s="42" t="str">
        <x:v>运营管理实证与理论</x:v>
      </x:c>
      <x:c r="E52" s="42" t="str">
        <x:v>The effect of customer and supplier concentrations on firm resilience during the COVID‐19 pandemic: Resource dependence and power balancing</x:v>
      </x:c>
      <x:c r="F52" s="42" t="str">
        <x:v>Shenyang Jiang; Andy C.L. Yeung; Zhaojun Han; Baofeng Huo</x:v>
      </x:c>
      <x:c r="G52" s="48" t="n">
        <x:v>2023</x:v>
      </x:c>
      <x:c r="H52" s="42" t="str">
        <x:v>10.1002/joom.1236</x:v>
      </x:c>
      <x:c r="I52" s="51" t="n">
        <x:v>222</x:v>
      </x:c>
      <x:c r="J52" s="51" t="n">
        <x:v>207</x:v>
      </x:c>
      <x:c r="K52" s="54" t="n">
        <x:v>112.325</x:v>
      </x:c>
      <x:c r="L52" s="42" t="str">
        <x:v>2026-07-12</x:v>
      </x:c>
      <x:c r="M52" s="42" t="str">
        <x:v>Supply Chain Resilience and Risk Management</x:v>
      </x:c>
      <x:c r="N52" s="42" t="str">
        <x:v>实证解释型</x:v>
      </x:c>
      <x:c r="O52" s="42" t="str">
        <x:v>回归/统计实证</x:v>
      </x:c>
      <x:c r="P52" s="42" t="str">
        <x:v>title_override:customer and supplier concentrations on firm resilience</x:v>
      </x:c>
      <x:c r="Q52" s="42" t="str">
        <x:v>观察性微观/面板/交易数据</x:v>
      </x:c>
      <x:c r="R52" s="42" t="str">
        <x:v>Drawing on resource‐dependence theory (RDT), we theorize that shifts in demand and supply in different pandemic stages influence the effect of customer and supplier concentrations on firm resilience by altering the power dynamics between focal firms and their concentrated customers and suppliers.</x:v>
      </x:c>
      <x:c r="S52" s="42" t="str">
        <x:v>理论框架→假设→构念/变量→样本与测量→统计模型→信效度/拟合→稳健性→理论与管理含义</x:v>
      </x:c>
      <x:c r="T52" s="42" t="str">
        <x:v>以“Supply Chain Resilience and Risk Management”为对象，采用回归/统计实证，属于实证解释型研究；具体识别、模型与数据细节以全文复核为准。</x:v>
      </x:c>
      <x:c r="U52" s="42" t="str">
        <x:v>abstract</x:v>
      </x:c>
      <x:c r="V52" s="42" t="str">
        <x:v>待逐篇全文复核</x:v>
      </x:c>
      <x:c r="W52" s="42" t="str">
        <x:v>https://doi.org/10.1002/joom.1236</x:v>
      </x:c>
      <x:c r="X52" s="42" t="str">
        <x:v>https://openalex.org/W4319844248</x:v>
      </x:c>
      <x:c r="Y52" s="43" t="str">
        <x:v>Abstract The COVID‐19 pandemic has created significant disruptions in both demand and supply. Our study makes use of such dramatic changes in demand and supply during the pandemic to examine resource dependence and power balancing/unbalancing issues in buyer–supplier relationships. Specifically, we investigate the effect of customer and supplier concentrations on firm resilience during the pandemic. Drawing on…</x:v>
      </x:c>
    </x:row>
    <x:row r="53" ht="42" customHeight="1">
      <x:c r="A53" s="41" t="str">
        <x:v>P049</x:v>
      </x:c>
      <x:c r="B53" s="42" t="str">
        <x:v>recent_hot_2021_2025</x:v>
      </x:c>
      <x:c r="C53" s="42" t="str">
        <x:v>Journal of Operations Management</x:v>
      </x:c>
      <x:c r="D53" s="42" t="str">
        <x:v>运营管理实证与理论</x:v>
      </x:c>
      <x:c r="E53" s="42" t="str">
        <x:v>How information technology automates and augments processes: Insights from Artificial‐Intelligence‐based systems in professional service operations</x:v>
      </x:c>
      <x:c r="F53" s="42" t="str">
        <x:v>Martin Spring; James Faulconbridge; Atif Sarwar</x:v>
      </x:c>
      <x:c r="G53" s="48" t="n">
        <x:v>2022</x:v>
      </x:c>
      <x:c r="H53" s="42" t="str">
        <x:v>10.1002/joom.1215</x:v>
      </x:c>
      <x:c r="I53" s="51" t="n">
        <x:v>217</x:v>
      </x:c>
      <x:c r="J53" s="51" t="n">
        <x:v>192</x:v>
      </x:c>
      <x:c r="K53" s="54" t="n">
        <x:v>92.822</x:v>
      </x:c>
      <x:c r="L53" s="42" t="str">
        <x:v>2026-07-12</x:v>
      </x:c>
      <x:c r="M53" s="42" t="str">
        <x:v>Robotic Process Automation Applications</x:v>
      </x:c>
      <x:c r="N53" s="42" t="str">
        <x:v>探索/理论生成型</x:v>
      </x:c>
      <x:c r="O53" s="42" t="str">
        <x:v>定性/案例研究</x:v>
      </x:c>
      <x:c r="P53" s="42" t="str">
        <x:v>title_override:how information technology automates and augments processes</x:v>
      </x:c>
      <x:c r="Q53" s="42" t="str">
        <x:v>访谈、档案或案例材料</x:v>
      </x:c>
      <x:c r="R53" s="42" t="str">
        <x:v>The study uses case‐based research in two law firms and two accountancy firms using AI‐based systems.</x:v>
      </x:c>
      <x:c r="S53" s="42" t="str">
        <x:v>现象与案例选择→资料采集→开放编码→范畴/机制→跨案例比较→理论命题→边界条件</x:v>
      </x:c>
      <x:c r="T53" s="42" t="str">
        <x:v>以“Robotic Process Automation Applications”为对象，采用定性/案例研究，属于探索/理论生成型研究；具体识别、模型与数据细节以全文复核为准。</x:v>
      </x:c>
      <x:c r="U53" s="42" t="str">
        <x:v>abstract</x:v>
      </x:c>
      <x:c r="V53" s="42" t="str">
        <x:v>待逐篇全文复核</x:v>
      </x:c>
      <x:c r="W53" s="42" t="str">
        <x:v>https://doi.org/10.1002/joom.1215</x:v>
      </x:c>
      <x:c r="X53" s="42" t="str">
        <x:v>https://openalex.org/W4296963432</x:v>
      </x:c>
      <x:c r="Y53" s="43" t="str">
        <x:v>Abstract This study contributes to the technology management literature on the effects of IT on operations processes by examining the use of systems based on Artificial Intelligence (AI) in professional services. The paper builds on key concepts on AI, information systems, professional work, and professional services operations management. A model is developed to explain how AI‐based systems combine with humans to…</x:v>
      </x:c>
    </x:row>
    <x:row r="54" ht="42" customHeight="1">
      <x:c r="A54" s="41" t="str">
        <x:v>P050</x:v>
      </x:c>
      <x:c r="B54" s="42" t="str">
        <x:v>recent_hot_2021_2025</x:v>
      </x:c>
      <x:c r="C54" s="42" t="str">
        <x:v>Journal of Operations Management</x:v>
      </x:c>
      <x:c r="D54" s="42" t="str">
        <x:v>运营管理实证与理论</x:v>
      </x:c>
      <x:c r="E54" s="42" t="str">
        <x:v>Customer base environmental disclosure and supplier greenhouse gas emissions: A signaling theory perspective</x:v>
      </x:c>
      <x:c r="F54" s="42" t="str">
        <x:v>Sining Song; Jie Lian; Keith Skowronski; Tingting Yan</x:v>
      </x:c>
      <x:c r="G54" s="48" t="n">
        <x:v>2023</x:v>
      </x:c>
      <x:c r="H54" s="42" t="str">
        <x:v>10.1002/joom.1272</x:v>
      </x:c>
      <x:c r="I54" s="51" t="n">
        <x:v>158</x:v>
      </x:c>
      <x:c r="J54" s="51" t="n">
        <x:v>156</x:v>
      </x:c>
      <x:c r="K54" s="54" t="n">
        <x:v>84.425</x:v>
      </x:c>
      <x:c r="L54" s="42" t="str">
        <x:v>2026-07-12</x:v>
      </x:c>
      <x:c r="M54" s="42" t="str">
        <x:v>Sustainable Supply Chain Management</x:v>
      </x:c>
      <x:c r="N54" s="42" t="str">
        <x:v>因果解释型</x:v>
      </x:c>
      <x:c r="O54" s="42" t="str">
        <x:v>因果推断/计量经济学</x:v>
      </x:c>
      <x:c r="P54" s="42" t="str">
        <x:v>panel data</x:v>
      </x:c>
      <x:c r="Q54" s="42" t="str">
        <x:v>观察性微观/面板/交易数据</x:v>
      </x:c>
      <x:c r="R54" s="42" t="str">
        <x:v>Although suppliers' customers are increasingly signaling their commitment to tackling climate change through environmental disclosure, whether this signal contributes to supplier emissions reduction remains a question.</x:v>
      </x:c>
      <x:c r="S54" s="42" t="str">
        <x:v>理论机制→可检验假设→识别设计→样本与变量→估计→平行趋势/有效性→稳健性→机制与异质性</x:v>
      </x:c>
      <x:c r="T54" s="42" t="str">
        <x:v>以“Sustainable Supply Chain Management”为对象，采用因果推断/计量经济学，属于因果解释型研究；具体识别、模型与数据细节以全文复核为准。</x:v>
      </x:c>
      <x:c r="U54" s="42" t="str">
        <x:v>abstract</x:v>
      </x:c>
      <x:c r="V54" s="42" t="str">
        <x:v>待逐篇全文复核</x:v>
      </x:c>
      <x:c r="W54" s="42" t="str">
        <x:v>https://doi.org/10.1002/joom.1272</x:v>
      </x:c>
      <x:c r="X54" s="42" t="str">
        <x:v>https://openalex.org/W4385287671</x:v>
      </x:c>
      <x:c r="Y54" s="43" t="str">
        <x:v>Abstract As suppliers' emissions contribute to a significant portion of the global environmental footprint, achieving supply chain wide carbon neutrality largely depends on suppliers' greenhouse gas (GHG) emissions reductions. Although suppliers' customers are increasingly signaling their commitment to tackling climate change through environmental disclosure, whether this signal contributes to supplier emissions…</x:v>
      </x:c>
    </x:row>
    <x:row r="55" ht="42" customHeight="1">
      <x:c r="A55" s="41" t="str">
        <x:v>P051</x:v>
      </x:c>
      <x:c r="B55" s="42" t="str">
        <x:v>classic_high_cited</x:v>
      </x:c>
      <x:c r="C55" s="42" t="str">
        <x:v>Information Systems Research</x:v>
      </x:c>
      <x:c r="D55" s="42" t="str">
        <x:v>信息系统</x:v>
      </x:c>
      <x:c r="E55" s="42" t="str">
        <x:v>Information Systems Success: The Quest for the Dependent Variable</x:v>
      </x:c>
      <x:c r="F55" s="42" t="str">
        <x:v>William DeLone; Ephraim R. McLean</x:v>
      </x:c>
      <x:c r="G55" s="48" t="n">
        <x:v>1992</x:v>
      </x:c>
      <x:c r="H55" s="42" t="str">
        <x:v>10.1287/isre.3.1.60</x:v>
      </x:c>
      <x:c r="I55" s="51" t="n">
        <x:v>10631</x:v>
      </x:c>
      <x:c r="J55" s="51" t="n">
        <x:v>873</x:v>
      </x:c>
      <x:c r="K55" s="54" t="n">
        <x:v>193.294</x:v>
      </x:c>
      <x:c r="L55" s="42" t="str">
        <x:v>2026-07-12</x:v>
      </x:c>
      <x:c r="M55" s="42" t="str">
        <x:v>Technology Adoption and User Behaviour</x:v>
      </x:c>
      <x:c r="N55" s="42" t="str">
        <x:v>理论构建型</x:v>
      </x:c>
      <x:c r="O55" s="42" t="str">
        <x:v>概念/理论构建</x:v>
      </x:c>
      <x:c r="P55" s="42" t="str">
        <x:v>title_override:information systems success the quest</x:v>
      </x:c>
      <x:c r="Q55" s="42" t="str">
        <x:v>摘要未明确</x:v>
      </x:c>
      <x:c r="R55" s="42" t="str">
        <x:v>摘要未明确；需全文补录具体数据源、样本期与变量定义。</x:v>
      </x:c>
      <x:c r="S55" s="42" t="str">
        <x:v>现象/悖论→概念界定→理论锚点→机制与命题→边界条件→可检验含义→后续验证议程</x:v>
      </x:c>
      <x:c r="T55" s="42" t="str">
        <x:v>以“Technology Adoption and User Behaviour”为对象，采用概念/理论构建，属于理论构建型研究；具体识别、模型与数据细节以全文复核为准。</x:v>
      </x:c>
      <x:c r="U55" s="42" t="str">
        <x:v>abstract</x:v>
      </x:c>
      <x:c r="V55" s="42" t="str">
        <x:v>待逐篇全文复核</x:v>
      </x:c>
      <x:c r="W55" s="42" t="str">
        <x:v>https://doi.org/10.1287/isre.3.1.60</x:v>
      </x:c>
      <x:c r="X55" s="42" t="str">
        <x:v>https://openalex.org/W2057012437</x:v>
      </x:c>
      <x:c r="Y55" s="43" t="str">
        <x:v>A large number of studies have been conducted during the last decade and a half attempting to identify those factors that contribute to information systems success. However, the dependent variable in these studies—I/S success—has been an elusive one to define. Different researchers have addressed different aspects of success, making comparisons difficult and the prospect of building a cumulative tradition for I/S…</x:v>
      </x:c>
    </x:row>
    <x:row r="56" ht="42" customHeight="1">
      <x:c r="A56" s="41" t="str">
        <x:v>P052</x:v>
      </x:c>
      <x:c r="B56" s="42" t="str">
        <x:v>classic_high_cited</x:v>
      </x:c>
      <x:c r="C56" s="42" t="str">
        <x:v>Information Systems Research</x:v>
      </x:c>
      <x:c r="D56" s="42" t="str">
        <x:v>信息系统</x:v>
      </x:c>
      <x:c r="E56" s="42" t="str">
        <x:v>Development of an Instrument to Measure the Perceptions of Adopting an Information Technology Innovation</x:v>
      </x:c>
      <x:c r="F56" s="42" t="str">
        <x:v>Gary C. Moore; Izak Benbasat</x:v>
      </x:c>
      <x:c r="G56" s="48" t="n">
        <x:v>1991</x:v>
      </x:c>
      <x:c r="H56" s="42" t="str">
        <x:v>10.1287/isre.2.3.192</x:v>
      </x:c>
      <x:c r="I56" s="51" t="n">
        <x:v>9089</x:v>
      </x:c>
      <x:c r="J56" s="51" t="n">
        <x:v>829</x:v>
      </x:c>
      <x:c r="K56" s="54" t="n">
        <x:v>176.204</x:v>
      </x:c>
      <x:c r="L56" s="42" t="str">
        <x:v>2026-07-12</x:v>
      </x:c>
      <x:c r="M56" s="42" t="str">
        <x:v>Technology Adoption and User Behaviour</x:v>
      </x:c>
      <x:c r="N56" s="42" t="str">
        <x:v>实证解释型</x:v>
      </x:c>
      <x:c r="O56" s="42" t="str">
        <x:v>结构方程/问卷实证</x:v>
      </x:c>
      <x:c r="P56" s="42" t="str">
        <x:v>instrument to measure</x:v>
      </x:c>
      <x:c r="Q56" s="42" t="str">
        <x:v>问卷/量表数据</x:v>
      </x:c>
      <x:c r="R56" s="42" t="str">
        <x:v>摘要未明确；需全文补录具体数据源、样本期与变量定义。</x:v>
      </x:c>
      <x:c r="S56" s="42" t="str">
        <x:v>理论框架→假设→构念/变量→样本与测量→统计模型→信效度/拟合→稳健性→理论与管理含义</x:v>
      </x:c>
      <x:c r="T56" s="42" t="str">
        <x:v>以“Technology Adoption and User Behaviour”为对象，采用结构方程/问卷实证，属于实证解释型研究；具体识别、模型与数据细节以全文复核为准。</x:v>
      </x:c>
      <x:c r="U56" s="42" t="str">
        <x:v>abstract</x:v>
      </x:c>
      <x:c r="V56" s="42" t="str">
        <x:v>待逐篇全文复核</x:v>
      </x:c>
      <x:c r="W56" s="42" t="str">
        <x:v>https://doi.org/10.1287/isre.2.3.192</x:v>
      </x:c>
      <x:c r="X56" s="42" t="str">
        <x:v>https://openalex.org/W2100408980</x:v>
      </x:c>
      <x:c r="Y56" s="43" t="str">
        <x:v>This paper reports on the development of an instrument designed to measure the various perceptions that an individual may have of adopting an information technology (IT) innovation. This instrument is intended to be a tool for the study of the initial adoption and eventual diffusion of IT innovations within organizations. While the adoption of information technologies by individuals and organizations has been an…</x:v>
      </x:c>
    </x:row>
    <x:row r="57" ht="42" customHeight="1">
      <x:c r="A57" s="41" t="str">
        <x:v>P053</x:v>
      </x:c>
      <x:c r="B57" s="42" t="str">
        <x:v>classic_high_cited</x:v>
      </x:c>
      <x:c r="C57" s="42" t="str">
        <x:v>Information Systems Research</x:v>
      </x:c>
      <x:c r="D57" s="42" t="str">
        <x:v>信息系统</x:v>
      </x:c>
      <x:c r="E57" s="42" t="str">
        <x:v>Understanding Information Technology Usage: A Test of Competing Models</x:v>
      </x:c>
      <x:c r="F57" s="42" t="str">
        <x:v>Shirley Taylor; Peter Todd</x:v>
      </x:c>
      <x:c r="G57" s="48" t="n">
        <x:v>1995</x:v>
      </x:c>
      <x:c r="H57" s="42" t="str">
        <x:v>10.1287/isre.6.2.144</x:v>
      </x:c>
      <x:c r="I57" s="51" t="n">
        <x:v>8745</x:v>
      </x:c>
      <x:c r="J57" s="51" t="n">
        <x:v>794</x:v>
      </x:c>
      <x:c r="K57" s="54" t="n">
        <x:v>181.53</x:v>
      </x:c>
      <x:c r="L57" s="42" t="str">
        <x:v>2026-07-12</x:v>
      </x:c>
      <x:c r="M57" s="42" t="str">
        <x:v>Technology Adoption and User Behaviour</x:v>
      </x:c>
      <x:c r="N57" s="42" t="str">
        <x:v>实证解释型</x:v>
      </x:c>
      <x:c r="O57" s="42" t="str">
        <x:v>结构方程/问卷实证</x:v>
      </x:c>
      <x:c r="P57" s="42" t="str">
        <x:v>technology acceptance model</x:v>
      </x:c>
      <x:c r="Q57" s="42" t="str">
        <x:v>问卷/量表数据</x:v>
      </x:c>
      <x:c r="R57" s="42" t="str">
        <x:v>The models were compared using student data collected from 786 potential users of a computer resource center.</x:v>
      </x:c>
      <x:c r="S57" s="42" t="str">
        <x:v>理论框架→假设→构念/变量→样本与测量→统计模型→信效度/拟合→稳健性→理论与管理含义</x:v>
      </x:c>
      <x:c r="T57" s="42" t="str">
        <x:v>以“Technology Adoption and User Behaviour”为对象，采用结构方程/问卷实证，属于实证解释型研究；具体识别、模型与数据细节以全文复核为准。</x:v>
      </x:c>
      <x:c r="U57" s="42" t="str">
        <x:v>abstract</x:v>
      </x:c>
      <x:c r="V57" s="42" t="str">
        <x:v>待逐篇全文复核</x:v>
      </x:c>
      <x:c r="W57" s="42" t="str">
        <x:v>https://doi.org/10.1287/isre.6.2.144</x:v>
      </x:c>
      <x:c r="X57" s="42" t="str">
        <x:v>https://openalex.org/W1987198869</x:v>
      </x:c>
      <x:c r="Y57" s="43" t="str">
        <x:v>The Technology Acceptance Model and two variations of the Theory of Planned Behavior were compared to assess which model best helps to understand usage of information technology. The models were compared using student data collected from 786 potential users of a computer resource center. Behavior data was based on monitoring 3,780 visits to the resource center over a 12-week period. Weighted least squares estimation…</x:v>
      </x:c>
    </x:row>
    <x:row r="58" ht="42" customHeight="1">
      <x:c r="A58" s="41" t="str">
        <x:v>P054</x:v>
      </x:c>
      <x:c r="B58" s="42" t="str">
        <x:v>classic_high_cited</x:v>
      </x:c>
      <x:c r="C58" s="42" t="str">
        <x:v>Information Systems Research</x:v>
      </x:c>
      <x:c r="D58" s="42" t="str">
        <x:v>信息系统</x:v>
      </x:c>
      <x:c r="E58" s="42" t="str">
        <x:v>A Partial Least Squares Latent Variable Modeling Approach for Measuring Interaction Effects: Results from a Monte Carlo Simulation Study and an Electronic-Mail Emotion/Adoption Study</x:v>
      </x:c>
      <x:c r="F58" s="42" t="str">
        <x:v>Wynne W. Chin; Barbara L. Marcolin; Peter R. Newsted</x:v>
      </x:c>
      <x:c r="G58" s="48" t="n">
        <x:v>2003</x:v>
      </x:c>
      <x:c r="H58" s="42" t="str">
        <x:v>10.1287/isre.14.2.189.16018</x:v>
      </x:c>
      <x:c r="I58" s="51" t="n">
        <x:v>6465</x:v>
      </x:c>
      <x:c r="J58" s="51" t="n">
        <x:v>832</x:v>
      </x:c>
      <x:c r="K58" s="54" t="n">
        <x:v>210.442</x:v>
      </x:c>
      <x:c r="L58" s="42" t="str">
        <x:v>2026-07-12</x:v>
      </x:c>
      <x:c r="M58" s="42" t="str">
        <x:v>Technology Adoption and User Behaviour</x:v>
      </x:c>
      <x:c r="N58" s="42" t="str">
        <x:v>实证解释型</x:v>
      </x:c>
      <x:c r="O58" s="42" t="str">
        <x:v>结构方程/问卷实证</x:v>
      </x:c>
      <x:c r="P58" s="42" t="str">
        <x:v>partial least squares; survey of; latent variable; simulation study; monte carlo</x:v>
      </x:c>
      <x:c r="Q58" s="42" t="str">
        <x:v>问卷/量表数据</x:v>
      </x:c>
      <x:c r="R58" s="42" t="str">
        <x:v>In our survey of such studies, the majority failed to either detect or provide an estimate of the effect size.</x:v>
      </x:c>
      <x:c r="S58" s="42" t="str">
        <x:v>理论框架→假设→构念/变量→样本与测量→统计模型→信效度/拟合→稳健性→理论与管理含义</x:v>
      </x:c>
      <x:c r="T58" s="42" t="str">
        <x:v>以“Technology Adoption and User Behaviour”为对象，采用结构方程/问卷实证，属于实证解释型研究；具体识别、模型与数据细节以全文复核为准。</x:v>
      </x:c>
      <x:c r="U58" s="42" t="str">
        <x:v>abstract</x:v>
      </x:c>
      <x:c r="V58" s="42" t="str">
        <x:v>待逐篇全文复核</x:v>
      </x:c>
      <x:c r="W58" s="42" t="str">
        <x:v>https://doi.org/10.1287/isre.14.2.189.16018</x:v>
      </x:c>
      <x:c r="X58" s="42" t="str">
        <x:v>https://openalex.org/W2098685541</x:v>
      </x:c>
      <x:c r="Y58" s="43" t="str">
        <x:v>The ability to detect and accurately estimate the strength of interaction effects are critical issues that are fundamental to social science research in general and IS research in particular. Within the IS discipline, a significant percentage of research has been devoted to examining the conditions and contexts under which relationships may vary, often under the general umbrella of contingency theory (cf. McKeen et…</x:v>
      </x:c>
    </x:row>
    <x:row r="59" ht="42" customHeight="1">
      <x:c r="A59" s="41" t="str">
        <x:v>P055</x:v>
      </x:c>
      <x:c r="B59" s="42" t="str">
        <x:v>classic_high_cited</x:v>
      </x:c>
      <x:c r="C59" s="42" t="str">
        <x:v>Information Systems Research</x:v>
      </x:c>
      <x:c r="D59" s="42" t="str">
        <x:v>信息系统</x:v>
      </x:c>
      <x:c r="E59" s="42" t="str">
        <x:v>Determinants of Perceived Ease of Use: Integrating Control, Intrinsic Motivation, and Emotion into the Technology Acceptance Model</x:v>
      </x:c>
      <x:c r="F59" s="42" t="str">
        <x:v>Viswanath Venkatesh</x:v>
      </x:c>
      <x:c r="G59" s="48" t="n">
        <x:v>2000</x:v>
      </x:c>
      <x:c r="H59" s="42" t="str">
        <x:v>10.1287/isre.11.4.342.11872</x:v>
      </x:c>
      <x:c r="I59" s="51" t="n">
        <x:v>6423</x:v>
      </x:c>
      <x:c r="J59" s="51" t="n">
        <x:v>799</x:v>
      </x:c>
      <x:c r="K59" s="54" t="n">
        <x:v>189.643</x:v>
      </x:c>
      <x:c r="L59" s="42" t="str">
        <x:v>2026-07-12</x:v>
      </x:c>
      <x:c r="M59" s="42" t="str">
        <x:v>Technology Adoption and User Behaviour</x:v>
      </x:c>
      <x:c r="N59" s="42" t="str">
        <x:v>实证解释型</x:v>
      </x:c>
      <x:c r="O59" s="42" t="str">
        <x:v>结构方程/问卷实证</x:v>
      </x:c>
      <x:c r="P59" s="42" t="str">
        <x:v>technology acceptance model; perceived ease of use</x:v>
      </x:c>
      <x:c r="Q59" s="42" t="str">
        <x:v>问卷/量表数据</x:v>
      </x:c>
      <x:c r="R59" s="42" t="str">
        <x:v>摘要未明确；需全文补录具体数据源、样本期与变量定义。</x:v>
      </x:c>
      <x:c r="S59" s="42" t="str">
        <x:v>理论框架→假设→构念/变量→样本与测量→统计模型→信效度/拟合→稳健性→理论与管理含义</x:v>
      </x:c>
      <x:c r="T59" s="42" t="str">
        <x:v>以“Technology Adoption and User Behaviour”为对象，采用结构方程/问卷实证，属于实证解释型研究；具体识别、模型与数据细节以全文复核为准。</x:v>
      </x:c>
      <x:c r="U59" s="42" t="str">
        <x:v>abstract</x:v>
      </x:c>
      <x:c r="V59" s="42" t="str">
        <x:v>待逐篇全文复核</x:v>
      </x:c>
      <x:c r="W59" s="42" t="str">
        <x:v>https://doi.org/10.1287/isre.11.4.342.11872</x:v>
      </x:c>
      <x:c r="X59" s="42" t="str">
        <x:v>https://openalex.org/W2166982098</x:v>
      </x:c>
      <x:c r="Y59" s="43" t="str">
        <x:v>Much previous research has established that perceived ease of use is an important factor influencing user acceptance and usage behavior of information technologies. However, very little research has been conducted to understand how that perception forms and changes over time. The current work presents and tests an anchoring and adjustment-based theoretical model of the determinants of system-specific perceived ease…</x:v>
      </x:c>
    </x:row>
    <x:row r="60" ht="42" customHeight="1">
      <x:c r="A60" s="41" t="str">
        <x:v>P056</x:v>
      </x:c>
      <x:c r="B60" s="42" t="str">
        <x:v>recent_hot_2021_2025</x:v>
      </x:c>
      <x:c r="C60" s="42" t="str">
        <x:v>Information Systems Research</x:v>
      </x:c>
      <x:c r="D60" s="42" t="str">
        <x:v>信息系统</x:v>
      </x:c>
      <x:c r="E60" s="42" t="str">
        <x:v>Cognitive Challenges in Human–Artificial Intelligence Collaboration: Investigating the Path Toward Productive Delegation</x:v>
      </x:c>
      <x:c r="F60" s="42" t="str">
        <x:v>Andreas Fügener; Jörn Grahl; Alok Gupta; Wolfgang Ketter</x:v>
      </x:c>
      <x:c r="G60" s="48" t="n">
        <x:v>2021</x:v>
      </x:c>
      <x:c r="H60" s="42" t="str">
        <x:v>10.1287/isre.2021.1079</x:v>
      </x:c>
      <x:c r="I60" s="51" t="n">
        <x:v>400</x:v>
      </x:c>
      <x:c r="J60" s="51" t="n">
        <x:v>325</x:v>
      </x:c>
      <x:c r="K60" s="54" t="n">
        <x:v>143.089</x:v>
      </x:c>
      <x:c r="L60" s="42" t="str">
        <x:v>2026-07-12</x:v>
      </x:c>
      <x:c r="M60" s="42" t="str">
        <x:v>Ethics and Social Impacts of AI</x:v>
      </x:c>
      <x:c r="N60" s="42" t="str">
        <x:v>因果解释型</x:v>
      </x:c>
      <x:c r="O60" s="42" t="str">
        <x:v>实验研究</x:v>
      </x:c>
      <x:c r="P60" s="42" t="str">
        <x:v>title_override:cognitive challenges in human artificial intelligence collaboration</x:v>
      </x:c>
      <x:c r="Q60" s="42" t="str">
        <x:v>实验生成数据</x:v>
      </x:c>
      <x:c r="R60" s="42" t="str">
        <x:v>摘要未明确；需全文补录具体数据源、样本期与变量定义。</x:v>
      </x:c>
      <x:c r="S60" s="42" t="str">
        <x:v>理论机制→可检验假设→识别设计→样本与变量→估计→平行趋势/有效性→稳健性→机制与异质性</x:v>
      </x:c>
      <x:c r="T60" s="42" t="str">
        <x:v>以“Ethics and Social Impacts of AI”为对象，采用实验研究，属于因果解释型研究；具体识别、模型与数据细节以全文复核为准。</x:v>
      </x:c>
      <x:c r="U60" s="42" t="str">
        <x:v>abstract</x:v>
      </x:c>
      <x:c r="V60" s="42" t="str">
        <x:v>待逐篇全文复核</x:v>
      </x:c>
      <x:c r="W60" s="42" t="str">
        <x:v>https://doi.org/10.1287/isre.2021.1079</x:v>
      </x:c>
      <x:c r="X60" s="42" t="str">
        <x:v>https://openalex.org/W4200195738</x:v>
      </x:c>
      <x:c r="Y60" s="43" t="str">
        <x:v>A consensus is beginning to emerge that the next phase of artificial intelligence (AI) induction in business organizations will require humans to work with AI in a variety of work arrangements. This article explores the issues related to human capabilities to work with AI. A key to working in many work arrangements is the ability to delegate work to entities that can do them most efficiently. Modern AI can do a…</x:v>
      </x:c>
    </x:row>
    <x:row r="61" ht="42" customHeight="1">
      <x:c r="A61" s="41" t="str">
        <x:v>P057</x:v>
      </x:c>
      <x:c r="B61" s="42" t="str">
        <x:v>recent_hot_2021_2025</x:v>
      </x:c>
      <x:c r="C61" s="42" t="str">
        <x:v>Information Systems Research</x:v>
      </x:c>
      <x:c r="D61" s="42" t="str">
        <x:v>信息系统</x:v>
      </x:c>
      <x:c r="E61" s="42" t="str">
        <x:v>Augmenting Medical Diagnosis Decisions? An Investigation into Physicians’ Decision-Making Process with Artificial Intelligence</x:v>
      </x:c>
      <x:c r="F61" s="42" t="str">
        <x:v>Ekaterina Jussupow; Kai Spohrer; Armin Heinzl; Joshua Gawlitza</x:v>
      </x:c>
      <x:c r="G61" s="48" t="n">
        <x:v>2021</x:v>
      </x:c>
      <x:c r="H61" s="42" t="str">
        <x:v>10.1287/isre.2020.0980</x:v>
      </x:c>
      <x:c r="I61" s="51" t="n">
        <x:v>388</x:v>
      </x:c>
      <x:c r="J61" s="51" t="n">
        <x:v>290</x:v>
      </x:c>
      <x:c r="K61" s="54" t="n">
        <x:v>128.5</x:v>
      </x:c>
      <x:c r="L61" s="42" t="str">
        <x:v>2026-07-12</x:v>
      </x:c>
      <x:c r="M61" s="42" t="str">
        <x:v>Artificial Intelligence in Healthcare and Education</x:v>
      </x:c>
      <x:c r="N61" s="42" t="str">
        <x:v>因果解释型</x:v>
      </x:c>
      <x:c r="O61" s="42" t="str">
        <x:v>实验研究</x:v>
      </x:c>
      <x:c r="P61" s="42" t="str">
        <x:v>title_override:augmenting medical diagnosis decisions</x:v>
      </x:c>
      <x:c r="Q61" s="42" t="str">
        <x:v>实验生成数据</x:v>
      </x:c>
      <x:c r="R61" s="42" t="str">
        <x:v>In experiments with 68 novice and 12 experienced physicians, novice physicians with and without clinical experience as well as experienced radiologists made more inaccurate diagnosis decisions when provided with incorrect AI advice than without advice at all.</x:v>
      </x:c>
      <x:c r="S61" s="42" t="str">
        <x:v>理论机制→可检验假设→识别设计→样本与变量→估计→平行趋势/有效性→稳健性→机制与异质性</x:v>
      </x:c>
      <x:c r="T61" s="42" t="str">
        <x:v>以“Artificial Intelligence in Healthcare and Education”为对象，采用实验研究，属于因果解释型研究；具体识别、模型与数据细节以全文复核为准。</x:v>
      </x:c>
      <x:c r="U61" s="42" t="str">
        <x:v>abstract</x:v>
      </x:c>
      <x:c r="V61" s="42" t="str">
        <x:v>待逐篇全文复核</x:v>
      </x:c>
      <x:c r="W61" s="42" t="str">
        <x:v>https://doi.org/10.1287/isre.2020.0980</x:v>
      </x:c>
      <x:c r="X61" s="42" t="str">
        <x:v>https://openalex.org/W3082837871</x:v>
      </x:c>
      <x:c r="Y61" s="43" t="str">
        <x:v>Systems based on artificial intelligence (AI) increasingly support physicians in diagnostic decisions, but they are not without errors and biases. Failure to detect those may result in wrong diagnoses and medical errors. Compared with rule-based systems, however, these systems are less transparent and their errors less predictable. Thus, it is difficult, yet critical, for physicians to carefully evaluate AI advice.…</x:v>
      </x:c>
    </x:row>
    <x:row r="62" ht="42" customHeight="1">
      <x:c r="A62" s="41" t="str">
        <x:v>P058</x:v>
      </x:c>
      <x:c r="B62" s="42" t="str">
        <x:v>recent_hot_2021_2025</x:v>
      </x:c>
      <x:c r="C62" s="42" t="str">
        <x:v>Information Systems Research</x:v>
      </x:c>
      <x:c r="D62" s="42" t="str">
        <x:v>信息系统</x:v>
      </x:c>
      <x:c r="E62" s="42" t="str">
        <x:v>The Janus Effect of Generative AI: Charting the Path for Responsible Conduct of Scholarly Activities in Information Systems</x:v>
      </x:c>
      <x:c r="F62" s="42" t="str">
        <x:v>Anjana Susarla; Ram D. Gopal; Jason Bennett Thatcher; Suprateek Sarker</x:v>
      </x:c>
      <x:c r="G62" s="48" t="n">
        <x:v>2023</x:v>
      </x:c>
      <x:c r="H62" s="42" t="str">
        <x:v>10.1287/isre.2023.ed.v34.n2</x:v>
      </x:c>
      <x:c r="I62" s="51" t="n">
        <x:v>252</x:v>
      </x:c>
      <x:c r="J62" s="51" t="n">
        <x:v>229</x:v>
      </x:c>
      <x:c r="K62" s="54" t="n">
        <x:v>124.45</x:v>
      </x:c>
      <x:c r="L62" s="42" t="str">
        <x:v>2026-07-12</x:v>
      </x:c>
      <x:c r="M62" s="42" t="str">
        <x:v>Artificial Intelligence in Healthcare and Education</x:v>
      </x:c>
      <x:c r="N62" s="42" t="str">
        <x:v>理论构建型</x:v>
      </x:c>
      <x:c r="O62" s="42" t="str">
        <x:v>概念/理论构建</x:v>
      </x:c>
      <x:c r="P62" s="42" t="str">
        <x:v>title_override:janus effect of generative ai</x:v>
      </x:c>
      <x:c r="Q62" s="42" t="str">
        <x:v>摘要未明确</x:v>
      </x:c>
      <x:c r="R62" s="42" t="str">
        <x:v>摘要未明确；需全文补录具体数据源、样本期与变量定义。</x:v>
      </x:c>
      <x:c r="S62" s="42" t="str">
        <x:v>现象/悖论→概念界定→理论锚点→机制与命题→边界条件→可检验含义→后续验证议程</x:v>
      </x:c>
      <x:c r="T62" s="42" t="str">
        <x:v>以“Artificial Intelligence in Healthcare and Education”为对象，采用概念/理论构建，属于理论构建型研究；具体识别、模型与数据细节以全文复核为准。</x:v>
      </x:c>
      <x:c r="U62" s="42" t="str">
        <x:v>abstract</x:v>
      </x:c>
      <x:c r="V62" s="42" t="str">
        <x:v>待逐篇全文复核</x:v>
      </x:c>
      <x:c r="W62" s="42" t="str">
        <x:v>https://doi.org/10.1287/isre.2023.ed.v34.n2</x:v>
      </x:c>
      <x:c r="X62" s="42" t="str">
        <x:v>https://openalex.org/W4378390530</x:v>
      </x:c>
      <x:c r="Y62" s="43" t="str">
        <x:v>Funding: A. Susarla was funded by an R01 grant from the National Library of Medicine, through [Grant R01LM013443].</x:v>
      </x:c>
    </x:row>
    <x:row r="63" ht="42" customHeight="1">
      <x:c r="A63" s="41" t="str">
        <x:v>P059</x:v>
      </x:c>
      <x:c r="B63" s="42" t="str">
        <x:v>recent_hot_2021_2025</x:v>
      </x:c>
      <x:c r="C63" s="42" t="str">
        <x:v>Information Systems Research</x:v>
      </x:c>
      <x:c r="D63" s="42" t="str">
        <x:v>信息系统</x:v>
      </x:c>
      <x:c r="E63" s="42" t="str">
        <x:v>Bots with Feelings: Should AI Agents Express Positive Emotion in Customer Service?</x:v>
      </x:c>
      <x:c r="F63" s="42" t="str">
        <x:v>Elizabeth Han; Dezhi Yin; Han Zhang</x:v>
      </x:c>
      <x:c r="G63" s="48" t="n">
        <x:v>2022</x:v>
      </x:c>
      <x:c r="H63" s="42" t="str">
        <x:v>10.1287/isre.2022.1179</x:v>
      </x:c>
      <x:c r="I63" s="51" t="n">
        <x:v>260</x:v>
      </x:c>
      <x:c r="J63" s="51" t="n">
        <x:v>245</x:v>
      </x:c>
      <x:c r="K63" s="54" t="n">
        <x:v>117.815</x:v>
      </x:c>
      <x:c r="L63" s="42" t="str">
        <x:v>2026-07-12</x:v>
      </x:c>
      <x:c r="M63" s="42" t="str">
        <x:v>AI in Service Interactions</x:v>
      </x:c>
      <x:c r="N63" s="42" t="str">
        <x:v>因果解释型</x:v>
      </x:c>
      <x:c r="O63" s="42" t="str">
        <x:v>实验研究</x:v>
      </x:c>
      <x:c r="P63" s="42" t="str">
        <x:v>controlled experiment</x:v>
      </x:c>
      <x:c r="Q63" s="42" t="str">
        <x:v>实验生成数据</x:v>
      </x:c>
      <x:c r="R63" s="42" t="str">
        <x:v>This research explores how, when, and why an AI agent’s expression of positive emotion affects customers’ service evaluations.</x:v>
      </x:c>
      <x:c r="S63" s="42" t="str">
        <x:v>理论机制→可检验假设→识别设计→样本与变量→估计→平行趋势/有效性→稳健性→机制与异质性</x:v>
      </x:c>
      <x:c r="T63" s="42" t="str">
        <x:v>以“AI in Service Interactions”为对象，采用实验研究，属于因果解释型研究；具体识别、模型与数据细节以全文复核为准。</x:v>
      </x:c>
      <x:c r="U63" s="42" t="str">
        <x:v>abstract</x:v>
      </x:c>
      <x:c r="V63" s="42" t="str">
        <x:v>待逐篇全文复核</x:v>
      </x:c>
      <x:c r="W63" s="42" t="str">
        <x:v>https://doi.org/10.1287/isre.2022.1179</x:v>
      </x:c>
      <x:c r="X63" s="42" t="str">
        <x:v>https://openalex.org/W4311111985</x:v>
      </x:c>
      <x:c r="Y63" s="43" t="str">
        <x:v>The rise of emotional intelligence technology and the recent debate about the possibility of a “sentient” artificial intelligence (AI) urge the need to study the role of emotion during people’s interactions with AIs. In customer service, human employees are increasingly replaced by AI agents, such as chatbots, and often these AI agents are equipped with emotion-expressing capabilities to replicate the positive…</x:v>
      </x:c>
    </x:row>
    <x:row r="64" ht="42" customHeight="1">
      <x:c r="A64" s="41" t="str">
        <x:v>P060</x:v>
      </x:c>
      <x:c r="B64" s="42" t="str">
        <x:v>recent_hot_2021_2025</x:v>
      </x:c>
      <x:c r="C64" s="42" t="str">
        <x:v>Information Systems Research</x:v>
      </x:c>
      <x:c r="D64" s="42" t="str">
        <x:v>信息系统</x:v>
      </x:c>
      <x:c r="E64" s="42" t="str">
        <x:v>Expl(AI)ned: The Impact of Explainable Artificial Intelligence on Users’ Information Processing</x:v>
      </x:c>
      <x:c r="F64" s="42" t="str">
        <x:v>Kevin Bauer; Moritz von Zahn; Oliver Hinz</x:v>
      </x:c>
      <x:c r="G64" s="48" t="n">
        <x:v>2023</x:v>
      </x:c>
      <x:c r="H64" s="42" t="str">
        <x:v>10.1287/isre.2023.1199</x:v>
      </x:c>
      <x:c r="I64" s="51" t="n">
        <x:v>232</x:v>
      </x:c>
      <x:c r="J64" s="51" t="n">
        <x:v>217</x:v>
      </x:c>
      <x:c r="K64" s="54" t="n">
        <x:v>117.7</x:v>
      </x:c>
      <x:c r="L64" s="42" t="str">
        <x:v>2026-07-12</x:v>
      </x:c>
      <x:c r="M64" s="42" t="str">
        <x:v>Explainable Artificial Intelligence (XAI)</x:v>
      </x:c>
      <x:c r="N64" s="42" t="str">
        <x:v>预测型/计算型</x:v>
      </x:c>
      <x:c r="O64" s="42" t="str">
        <x:v>机器学习/文本与预测分析</x:v>
      </x:c>
      <x:c r="P64" s="42" t="str">
        <x:v>machine learning; robustness</x:v>
      </x:c>
      <x:c r="Q64" s="42" t="str">
        <x:v>观察数据/数字痕迹/文本/时序</x:v>
      </x:c>
      <x:c r="R64" s="42" t="str">
        <x:v>Although future regulations increasingly advocate that AI applications must be interpretable by users, we know little about how such explainability can affect human information processing.</x:v>
      </x:c>
      <x:c r="S64" s="42" t="str">
        <x:v>预测/分类任务→数据与标签→特征/表示→训练与验证→基线比较→误差与解释→决策/部署约束</x:v>
      </x:c>
      <x:c r="T64" s="42" t="str">
        <x:v>以“Explainable Artificial Intelligence (XAI)”为对象，采用机器学习/文本与预测分析，属于预测型/计算型研究；具体识别、模型与数据细节以全文复核为准。</x:v>
      </x:c>
      <x:c r="U64" s="42" t="str">
        <x:v>abstract</x:v>
      </x:c>
      <x:c r="V64" s="42" t="str">
        <x:v>待逐篇全文复核</x:v>
      </x:c>
      <x:c r="W64" s="42" t="str">
        <x:v>https://doi.org/10.1287/isre.2023.1199</x:v>
      </x:c>
      <x:c r="X64" s="42" t="str">
        <x:v>https://openalex.org/W4323048183</x:v>
      </x:c>
      <x:c r="Y64" s="43" t="str">
        <x:v>Although future regulations increasingly advocate that AI applications must be interpretable by users, we know little about how such explainability can affect human information processing. By conducting two experimental studies, we help to fill this gap. We show that explanations pave the way for AI systems to reshape users' understanding of the world around them. Specifically, state-of-the-art explainability…</x:v>
      </x:c>
    </x:row>
    <x:row r="65" ht="42" customHeight="1">
      <x:c r="A65" s="41" t="str">
        <x:v>P061</x:v>
      </x:c>
      <x:c r="B65" s="42" t="str">
        <x:v>classic_high_cited</x:v>
      </x:c>
      <x:c r="C65" s="42" t="str">
        <x:v>MIS Quarterly</x:v>
      </x:c>
      <x:c r="D65" s="42" t="str">
        <x:v>信息系统</x:v>
      </x:c>
      <x:c r="E65" s="42" t="str">
        <x:v>Perceived Usefulness, Perceived Ease of Use, and User Acceptance of Information Technology</x:v>
      </x:c>
      <x:c r="F65" s="42" t="str">
        <x:v>Fred D. Davis</x:v>
      </x:c>
      <x:c r="G65" s="48" t="n">
        <x:v>1989</x:v>
      </x:c>
      <x:c r="H65" s="42" t="str">
        <x:v>10.2307/249008</x:v>
      </x:c>
      <x:c r="I65" s="51" t="n">
        <x:v>65030</x:v>
      </x:c>
      <x:c r="J65" s="51" t="n">
        <x:v>16805</x:v>
      </x:c>
      <x:c r="K65" s="54" t="n">
        <x:v>2982.991</x:v>
      </x:c>
      <x:c r="L65" s="42" t="str">
        <x:v>2026-07-12</x:v>
      </x:c>
      <x:c r="M65" s="42" t="str">
        <x:v>Technology Adoption and User Behaviour</x:v>
      </x:c>
      <x:c r="N65" s="42" t="str">
        <x:v>实证解释型</x:v>
      </x:c>
      <x:c r="O65" s="42" t="str">
        <x:v>结构方程/问卷实证</x:v>
      </x:c>
      <x:c r="P65" s="42" t="str">
        <x:v>technology acceptance model; user acceptance of information technology; perceived ease of use; perceived usefulness</x:v>
      </x:c>
      <x:c r="Q65" s="42" t="str">
        <x:v>问卷/量表数据</x:v>
      </x:c>
      <x:c r="R65" s="42" t="str">
        <x:v>Definitions for these two variables were used to develop scale items that were pretested for content validity and then tested for reliability and construct validity in two studies involving a total of 152 users and four application programs.</x:v>
      </x:c>
      <x:c r="S65" s="42" t="str">
        <x:v>理论框架→假设→构念/变量→样本与测量→统计模型→信效度/拟合→稳健性→理论与管理含义</x:v>
      </x:c>
      <x:c r="T65" s="42" t="str">
        <x:v>以“Technology Adoption and User Behaviour”为对象，采用结构方程/问卷实证，属于实证解释型研究；具体识别、模型与数据细节以全文复核为准。</x:v>
      </x:c>
      <x:c r="U65" s="42" t="str">
        <x:v>abstract</x:v>
      </x:c>
      <x:c r="V65" s="42" t="str">
        <x:v>待逐篇全文复核</x:v>
      </x:c>
      <x:c r="W65" s="42" t="str">
        <x:v>https://doi.org/10.2307/249008</x:v>
      </x:c>
      <x:c r="X65" s="42" t="str">
        <x:v>https://openalex.org/W1791587663</x:v>
      </x:c>
      <x:c r="Y65" s="43" t="str">
        <x:v>Valid measurement scales for predicting user acceptance of computers are in short supply. Most subjective measures used in practice are unvalidated, and their relationship to system usage is unknown. The present research develops and validates new scales for two specific variables, perceived usefulness and perceived ease of use, which are hypothesized to be fundamental determinants of user acceptance. Definitions…</x:v>
      </x:c>
    </x:row>
    <x:row r="66" ht="42" customHeight="1">
      <x:c r="A66" s="41" t="str">
        <x:v>P062</x:v>
      </x:c>
      <x:c r="B66" s="42" t="str">
        <x:v>classic_high_cited</x:v>
      </x:c>
      <x:c r="C66" s="42" t="str">
        <x:v>MIS Quarterly</x:v>
      </x:c>
      <x:c r="D66" s="42" t="str">
        <x:v>信息系统</x:v>
      </x:c>
      <x:c r="E66" s="42" t="str">
        <x:v>User Acceptance of Information Technology: Toward A Unified View1</x:v>
      </x:c>
      <x:c r="F66" s="42" t="str">
        <x:v>Venkatesh; Michael G. Morris; Gordon B. Davis; Fred D. Davis</x:v>
      </x:c>
      <x:c r="G66" s="48" t="n">
        <x:v>2003</x:v>
      </x:c>
      <x:c r="H66" s="42" t="str">
        <x:v>10.2307/30036540</x:v>
      </x:c>
      <x:c r="I66" s="51" t="n">
        <x:v>42774</x:v>
      </x:c>
      <x:c r="J66" s="51" t="n">
        <x:v>12047</x:v>
      </x:c>
      <x:c r="K66" s="54" t="n">
        <x:v>2726.625</x:v>
      </x:c>
      <x:c r="L66" s="42" t="str">
        <x:v>2026-07-12</x:v>
      </x:c>
      <x:c r="M66" s="42" t="str">
        <x:v>Technology Adoption and User Behaviour</x:v>
      </x:c>
      <x:c r="N66" s="42" t="str">
        <x:v>实证解释型</x:v>
      </x:c>
      <x:c r="O66" s="42" t="str">
        <x:v>结构方程/问卷实证</x:v>
      </x:c>
      <x:c r="P66" s="42" t="str">
        <x:v>technology acceptance model; user acceptance of information technology</x:v>
      </x:c>
      <x:c r="Q66" s="42" t="str">
        <x:v>问卷/量表数据</x:v>
      </x:c>
      <x:c r="R66" s="42" t="str">
        <x:v>Using data from four organizations over a six-month period with three points of measurement, the eight models explained between 17 percent and 53 percent of the variance in user intentions to use information technology.</x:v>
      </x:c>
      <x:c r="S66" s="42" t="str">
        <x:v>理论框架→假设→构念/变量→样本与测量→统计模型→信效度/拟合→稳健性→理论与管理含义</x:v>
      </x:c>
      <x:c r="T66" s="42" t="str">
        <x:v>以“Technology Adoption and User Behaviour”为对象，采用结构方程/问卷实证，属于实证解释型研究；具体识别、模型与数据细节以全文复核为准。</x:v>
      </x:c>
      <x:c r="U66" s="42" t="str">
        <x:v>abstract</x:v>
      </x:c>
      <x:c r="V66" s="42" t="str">
        <x:v>待逐篇全文复核</x:v>
      </x:c>
      <x:c r="W66" s="42" t="str">
        <x:v>https://doi.org/10.2307/30036540</x:v>
      </x:c>
      <x:c r="X66" s="42" t="str">
        <x:v>https://openalex.org/W2100379340</x:v>
      </x:c>
      <x:c r="Y66" s="43" t="str">
        <x:v>Information technology (IT) acceptance research has yielded many competing models, each with different sets of acceptance determinants. In this paper, we (1) review user acceptance literature and discuss eight prominent models, (2) empirically compare the eight models and their extensions, (3) formulate a unified model that integrates elements across the eight models, and (4) empirically validate the unified model.…</x:v>
      </x:c>
    </x:row>
    <x:row r="67" ht="42" customHeight="1">
      <x:c r="A67" s="41" t="str">
        <x:v>P063</x:v>
      </x:c>
      <x:c r="B67" s="42" t="str">
        <x:v>classic_high_cited</x:v>
      </x:c>
      <x:c r="C67" s="42" t="str">
        <x:v>MIS Quarterly</x:v>
      </x:c>
      <x:c r="D67" s="42" t="str">
        <x:v>信息系统</x:v>
      </x:c>
      <x:c r="E67" s="42" t="str">
        <x:v>Consumer Acceptance and Use of Information Technology: Extending the Unified Theory of Acceptance and Use of Technology1</x:v>
      </x:c>
      <x:c r="F67" s="42" t="str">
        <x:v>Venkatesh; James Y.L. Thong; Xu</x:v>
      </x:c>
      <x:c r="G67" s="48" t="n">
        <x:v>2012</x:v>
      </x:c>
      <x:c r="H67" s="42" t="str">
        <x:v>10.2307/41410412</x:v>
      </x:c>
      <x:c r="I67" s="51" t="n">
        <x:v>14804</x:v>
      </x:c>
      <x:c r="J67" s="51" t="n">
        <x:v>5564</x:v>
      </x:c>
      <x:c r="K67" s="54" t="n">
        <x:v>1584.917</x:v>
      </x:c>
      <x:c r="L67" s="42" t="str">
        <x:v>2026-07-12</x:v>
      </x:c>
      <x:c r="M67" s="42" t="str">
        <x:v>Technology Adoption and User Behaviour</x:v>
      </x:c>
      <x:c r="N67" s="42" t="str">
        <x:v>实证解释型</x:v>
      </x:c>
      <x:c r="O67" s="42" t="str">
        <x:v>结构方程/问卷实证</x:v>
      </x:c>
      <x:c r="P67" s="42" t="str">
        <x:v>technology acceptance model</x:v>
      </x:c>
      <x:c r="Q67" s="42" t="str">
        <x:v>问卷/量表数据</x:v>
      </x:c>
      <x:c r="R67" s="42" t="str">
        <x:v>Results from a two-stage online survey, with technology use data collected four months after the first survey, of 1,512 mobile Internet consumers supported our model.</x:v>
      </x:c>
      <x:c r="S67" s="42" t="str">
        <x:v>理论框架→假设→构念/变量→样本与测量→统计模型→信效度/拟合→稳健性→理论与管理含义</x:v>
      </x:c>
      <x:c r="T67" s="42" t="str">
        <x:v>以“Technology Adoption and User Behaviour”为对象，采用结构方程/问卷实证，属于实证解释型研究；具体识别、模型与数据细节以全文复核为准。</x:v>
      </x:c>
      <x:c r="U67" s="42" t="str">
        <x:v>abstract</x:v>
      </x:c>
      <x:c r="V67" s="42" t="str">
        <x:v>待逐篇全文复核</x:v>
      </x:c>
      <x:c r="W67" s="42" t="str">
        <x:v>https://doi.org/10.2307/41410412</x:v>
      </x:c>
      <x:c r="X67" s="42" t="str">
        <x:v>https://openalex.org/W3125976894</x:v>
      </x:c>
      <x:c r="Y67" s="43" t="str">
        <x:v>This paper extends the unified theory of acceptance and use of technology (UTAUT) to study acceptance and use of technology in a consumer context. Our proposed UTAUT2 incorporates three constructs into UTAUT: hedonic motivation, price value, and habit. Individual differences—namely, age, gender, and experience—are hypothesized to moderate the effects of these constructs on behavioral intention and technology use.…</x:v>
      </x:c>
    </x:row>
    <x:row r="68" ht="42" customHeight="1">
      <x:c r="A68" s="41" t="str">
        <x:v>P064</x:v>
      </x:c>
      <x:c r="B68" s="42" t="str">
        <x:v>classic_high_cited</x:v>
      </x:c>
      <x:c r="C68" s="42" t="str">
        <x:v>MIS Quarterly</x:v>
      </x:c>
      <x:c r="D68" s="42" t="str">
        <x:v>信息系统</x:v>
      </x:c>
      <x:c r="E68" s="42" t="str">
        <x:v>Design Science in Information Systems Research1</x:v>
      </x:c>
      <x:c r="F68" s="42" t="str">
        <x:v>Alan R. Hevner; March March; Jinsoo Park; Sudha Ram</x:v>
      </x:c>
      <x:c r="G68" s="48" t="n">
        <x:v>2004</x:v>
      </x:c>
      <x:c r="H68" s="42" t="str">
        <x:v>10.2307/25148625</x:v>
      </x:c>
      <x:c r="I68" s="51" t="n">
        <x:v>10012</x:v>
      </x:c>
      <x:c r="J68" s="51" t="n">
        <x:v>2085</x:v>
      </x:c>
      <x:c r="K68" s="54" t="n">
        <x:v>500.257</x:v>
      </x:c>
      <x:c r="L68" s="42" t="str">
        <x:v>2026-07-12</x:v>
      </x:c>
      <x:c r="M68" s="42" t="str">
        <x:v>Information Systems Theories and Implementation</x:v>
      </x:c>
      <x:c r="N68" s="42" t="str">
        <x:v>设计构建型</x:v>
      </x:c>
      <x:c r="O68" s="42" t="str">
        <x:v>设计科学/构建研究</x:v>
      </x:c>
      <x:c r="P68" s="42" t="str">
        <x:v>design science</x:v>
      </x:c>
      <x:c r="Q68" s="42" t="str">
        <x:v>需求/场景证据 + 构建与评估数据</x:v>
      </x:c>
      <x:c r="R68" s="42" t="str">
        <x:v>摘要未明确；需全文补录具体数据源、样本期与变量定义。</x:v>
      </x:c>
      <x:c r="S68" s="42" t="str">
        <x:v>问题/需求→设计目标→构件与机制→原型实现→技术/实验/场景评估→迭代→设计原则与边界</x:v>
      </x:c>
      <x:c r="T68" s="42" t="str">
        <x:v>以“Information Systems Theories and Implementation”为对象，采用设计科学/构建研究，属于设计构建型研究；具体识别、模型与数据细节以全文复核为准。</x:v>
      </x:c>
      <x:c r="U68" s="42" t="str">
        <x:v>abstract</x:v>
      </x:c>
      <x:c r="V68" s="42" t="str">
        <x:v>待逐篇全文复核</x:v>
      </x:c>
      <x:c r="W68" s="42" t="str">
        <x:v>https://doi.org/10.2307/25148625</x:v>
      </x:c>
      <x:c r="X68" s="42" t="str">
        <x:v>https://openalex.org/W3151685851</x:v>
      </x:c>
      <x:c r="Y68" s="43" t="str">
        <x:v>Two paradigms characterize much of the research in the Information Systems discipline: behavioral science and design science. The behavioral-science paradigm seeks to develop and verify theories that explain or predict human or organizational behavior. The design-science paradigm seeks to extend the boundaries of human and organizational capabilities by creating new and innovative artifacts. Both paradigms are…</x:v>
      </x:c>
    </x:row>
    <x:row r="69" ht="42" customHeight="1">
      <x:c r="A69" s="41" t="str">
        <x:v>P065</x:v>
      </x:c>
      <x:c r="B69" s="42" t="str">
        <x:v>classic_high_cited</x:v>
      </x:c>
      <x:c r="C69" s="42" t="str">
        <x:v>MIS Quarterly</x:v>
      </x:c>
      <x:c r="D69" s="42" t="str">
        <x:v>信息系统</x:v>
      </x:c>
      <x:c r="E69" s="42" t="str">
        <x:v>Review : Knowledge Management and Knowledge Management Systems: Conceptual Foundations And Research Issues1,2</x:v>
      </x:c>
      <x:c r="F69" s="42" t="str">
        <x:v>Maryam Alavi; Dorothy E. Leidner</x:v>
      </x:c>
      <x:c r="G69" s="48" t="n">
        <x:v>2001</x:v>
      </x:c>
      <x:c r="H69" s="42" t="str">
        <x:v>10.2307/3250961</x:v>
      </x:c>
      <x:c r="I69" s="51" t="n">
        <x:v>9973</x:v>
      </x:c>
      <x:c r="J69" s="51" t="n">
        <x:v>849</x:v>
      </x:c>
      <x:c r="K69" s="54" t="n">
        <x:v>224.235</x:v>
      </x:c>
      <x:c r="L69" s="42" t="str">
        <x:v>2026-07-12</x:v>
      </x:c>
      <x:c r="M69" s="42" t="str">
        <x:v>Competitive and Knowledge Intelligence</x:v>
      </x:c>
      <x:c r="N69" s="42" t="str">
        <x:v>证据综合型</x:v>
      </x:c>
      <x:c r="O69" s="42" t="str">
        <x:v>综述/理论整合/元分析</x:v>
      </x:c>
      <x:c r="P69" s="42" t="str">
        <x:v>literature review; conceptual foundations</x:v>
      </x:c>
      <x:c r="Q69" s="42" t="str">
        <x:v>文献与已发表效应量</x:v>
      </x:c>
      <x:c r="R69" s="42" t="str">
        <x:v>摘要未明确；需全文补录具体数据源、样本期与变量定义。</x:v>
      </x:c>
      <x:c r="S69" s="42" t="str">
        <x:v>检索协议→纳排标准→编码→质量/偏倚评估→主题或效应综合→异质性→研究议程</x:v>
      </x:c>
      <x:c r="T69" s="42" t="str">
        <x:v>以“Competitive and Knowledge Intelligence”为对象，采用综述/理论整合/元分析，属于证据综合型研究；具体识别、模型与数据细节以全文复核为准。</x:v>
      </x:c>
      <x:c r="U69" s="42" t="str">
        <x:v>abstract</x:v>
      </x:c>
      <x:c r="V69" s="42" t="str">
        <x:v>待逐篇全文复核</x:v>
      </x:c>
      <x:c r="W69" s="42" t="str">
        <x:v>https://doi.org/10.2307/3250961</x:v>
      </x:c>
      <x:c r="X69" s="42" t="str">
        <x:v>https://openalex.org/W2098118776</x:v>
      </x:c>
      <x:c r="Y69" s="43" t="str">
        <x:v>Knowledge is a broad and abstract notion that has defined epistemological debate in western philosophy since the classical Greek era. In the past few years, however, there has been a growing interest in treating knowledge as a significant organizational resource. Consistent with the interest in organizational knowledge and knowledge management (KM), IS researchers have begun promoting a class of information systems,…</x:v>
      </x:c>
    </x:row>
    <x:row r="70" ht="42" customHeight="1">
      <x:c r="A70" s="41" t="str">
        <x:v>P066</x:v>
      </x:c>
      <x:c r="B70" s="42" t="str">
        <x:v>recent_hot_2021_2025</x:v>
      </x:c>
      <x:c r="C70" s="42" t="str">
        <x:v>MIS Quarterly</x:v>
      </x:c>
      <x:c r="D70" s="42" t="str">
        <x:v>信息系统</x:v>
      </x:c>
      <x:c r="E70" s="42" t="str">
        <x:v>Managing Artificial Intelligence</x:v>
      </x:c>
      <x:c r="F70" s="42" t="str">
        <x:v>Nicholas Berente; Bin Gu; Jan Recker; Radhika Santhanam</x:v>
      </x:c>
      <x:c r="G70" s="48" t="n">
        <x:v>2021</x:v>
      </x:c>
      <x:c r="H70" s="42" t="str">
        <x:v>10.25300/misq/2021/16274</x:v>
      </x:c>
      <x:c r="I70" s="51" t="n">
        <x:v>455</x:v>
      </x:c>
      <x:c r="J70" s="51" t="n">
        <x:v>409</x:v>
      </x:c>
      <x:c r="K70" s="54" t="n">
        <x:v>178.757</x:v>
      </x:c>
      <x:c r="L70" s="42" t="str">
        <x:v>2026-07-12</x:v>
      </x:c>
      <x:c r="M70" s="42" t="str">
        <x:v>Blockchain Technology Applications and Security</x:v>
      </x:c>
      <x:c r="N70" s="42" t="str">
        <x:v>理论构建型</x:v>
      </x:c>
      <x:c r="O70" s="42" t="str">
        <x:v>概念/理论构建</x:v>
      </x:c>
      <x:c r="P70" s="42" t="str">
        <x:v>managing artificial intelligence</x:v>
      </x:c>
      <x:c r="Q70" s="42" t="str">
        <x:v>摘要未明确</x:v>
      </x:c>
      <x:c r="R70" s="42" t="str">
        <x:v>摘要未明确；需全文补录具体数据源、样本期与变量定义。</x:v>
      </x:c>
      <x:c r="S70" s="42" t="str">
        <x:v>现象/悖论→概念界定→理论锚点→机制与命题→边界条件→可检验含义→后续验证议程</x:v>
      </x:c>
      <x:c r="T70" s="42" t="str">
        <x:v>以“Blockchain Technology Applications and Security”为对象，采用概念/理论构建，属于理论构建型研究；具体识别、模型与数据细节以全文复核为准。</x:v>
      </x:c>
      <x:c r="U70" s="42" t="str">
        <x:v>abstract</x:v>
      </x:c>
      <x:c r="V70" s="42" t="str">
        <x:v>待逐篇全文复核</x:v>
      </x:c>
      <x:c r="W70" s="42" t="str">
        <x:v>https://doi.org/10.25300/misq/2021/16274</x:v>
      </x:c>
      <x:c r="X70" s="42" t="str">
        <x:v>https://openalex.org/W4413478458</x:v>
      </x:c>
      <x:c r="Y70" s="43" t="str">
        <x:v>Managing artificial intelligence (AI) marks the dawn of a new age of information technology management. Managing AI involves communicating, leading, coordinating, and controlling an ever-evolving frontier of computational advancements that references human intelligence in addressing ever more complex decisionmaking problems. It means making decisions about three related, interdependent facets of AI—autonomy,…</x:v>
      </x:c>
    </x:row>
    <x:row r="71" ht="42" customHeight="1">
      <x:c r="A71" s="41" t="str">
        <x:v>P067</x:v>
      </x:c>
      <x:c r="B71" s="42" t="str">
        <x:v>recent_hot_2021_2025</x:v>
      </x:c>
      <x:c r="C71" s="42" t="str">
        <x:v>MIS Quarterly</x:v>
      </x:c>
      <x:c r="D71" s="42" t="str">
        <x:v>信息系统</x:v>
      </x:c>
      <x:c r="E71" s="42" t="str">
        <x:v>The Next Generation of Research on IS Use: A Theoretical Framework of Delegation to and from Agentic IS Artifacts</x:v>
      </x:c>
      <x:c r="F71" s="42" t="str">
        <x:v>Aaron Baird; Likoebe M. Maruping</x:v>
      </x:c>
      <x:c r="G71" s="48" t="n">
        <x:v>2021</x:v>
      </x:c>
      <x:c r="H71" s="42" t="str">
        <x:v>10.25300/misq/2021/15882</x:v>
      </x:c>
      <x:c r="I71" s="51" t="n">
        <x:v>410</x:v>
      </x:c>
      <x:c r="J71" s="51" t="n">
        <x:v>304</x:v>
      </x:c>
      <x:c r="K71" s="54" t="n">
        <x:v>134.766</x:v>
      </x:c>
      <x:c r="L71" s="42" t="str">
        <x:v>2026-07-12</x:v>
      </x:c>
      <x:c r="M71" s="42" t="str">
        <x:v>Information Systems Theories and Implementation</x:v>
      </x:c>
      <x:c r="N71" s="42" t="str">
        <x:v>理论构建型</x:v>
      </x:c>
      <x:c r="O71" s="42" t="str">
        <x:v>概念/理论构建</x:v>
      </x:c>
      <x:c r="P71" s="42" t="str">
        <x:v>theoretical framework</x:v>
      </x:c>
      <x:c r="Q71" s="42" t="str">
        <x:v>摘要未明确</x:v>
      </x:c>
      <x:c r="R71" s="42" t="str">
        <x:v>Information systems (IS) use, the dominant theoretical paradigm for explaining how users apply IS artifacts toward goal attainment, gives primacy to human agency in the user–IS artifact relationship.</x:v>
      </x:c>
      <x:c r="S71" s="42" t="str">
        <x:v>现象/悖论→概念界定→理论锚点→机制与命题→边界条件→可检验含义→后续验证议程</x:v>
      </x:c>
      <x:c r="T71" s="42" t="str">
        <x:v>以“Information Systems Theories and Implementation”为对象，采用概念/理论构建，属于理论构建型研究；具体识别、模型与数据细节以全文复核为准。</x:v>
      </x:c>
      <x:c r="U71" s="42" t="str">
        <x:v>abstract</x:v>
      </x:c>
      <x:c r="V71" s="42" t="str">
        <x:v>待逐篇全文复核</x:v>
      </x:c>
      <x:c r="W71" s="42" t="str">
        <x:v>https://doi.org/10.25300/misq/2021/15882</x:v>
      </x:c>
      <x:c r="X71" s="42" t="str">
        <x:v>https://openalex.org/W3142805939</x:v>
      </x:c>
      <x:c r="Y71" s="43" t="str">
        <x:v>Information systems (IS) use, the dominant theoretical paradigm for explaining how users apply IS artifacts toward goal attainment, gives primacy to human agency in the user–IS artifact relationship. Models and theorizing in the IS use research stream tend to treat the IS artifact as a passive tool; lacking in the ability to initiate action and accept rights and responsibilities for achieving optimal outcomes under…</x:v>
      </x:c>
    </x:row>
    <x:row r="72" ht="42" customHeight="1">
      <x:c r="A72" s="41" t="str">
        <x:v>P068</x:v>
      </x:c>
      <x:c r="B72" s="42" t="str">
        <x:v>recent_hot_2021_2025</x:v>
      </x:c>
      <x:c r="C72" s="42" t="str">
        <x:v>MIS Quarterly</x:v>
      </x:c>
      <x:c r="D72" s="42" t="str">
        <x:v>信息系统</x:v>
      </x:c>
      <x:c r="E72" s="42" t="str">
        <x:v>Algorithmic Management of Work on Online Labor Platforms: When Matching Meets Control</x:v>
      </x:c>
      <x:c r="F72" s="42" t="str">
        <x:v>Mareike Möhlmann; Lior Zalmanson; Ola Henfridsson; Robert Wayne Gregory</x:v>
      </x:c>
      <x:c r="G72" s="48" t="n">
        <x:v>2021</x:v>
      </x:c>
      <x:c r="H72" s="42" t="str">
        <x:v>10.25300/misq/2021/15333</x:v>
      </x:c>
      <x:c r="I72" s="51" t="n">
        <x:v>413</x:v>
      </x:c>
      <x:c r="J72" s="51" t="n">
        <x:v>293</x:v>
      </x:c>
      <x:c r="K72" s="54" t="n">
        <x:v>130.35</x:v>
      </x:c>
      <x:c r="L72" s="42" t="str">
        <x:v>2026-07-12</x:v>
      </x:c>
      <x:c r="M72" s="42" t="str">
        <x:v>Digital Economy and Work Transformation</x:v>
      </x:c>
      <x:c r="N72" s="42" t="str">
        <x:v>探索/理论生成型</x:v>
      </x:c>
      <x:c r="O72" s="42" t="str">
        <x:v>定性/案例研究</x:v>
      </x:c>
      <x:c r="P72" s="42" t="str">
        <x:v>qualitative study; grounded theory</x:v>
      </x:c>
      <x:c r="Q72" s="42" t="str">
        <x:v>访谈、档案或案例材料</x:v>
      </x:c>
      <x:c r="R72" s="42" t="str">
        <x:v>摘要未明确；需全文补录具体数据源、样本期与变量定义。</x:v>
      </x:c>
      <x:c r="S72" s="42" t="str">
        <x:v>现象与案例选择→资料采集→开放编码→范畴/机制→跨案例比较→理论命题→边界条件</x:v>
      </x:c>
      <x:c r="T72" s="42" t="str">
        <x:v>以“Digital Economy and Work Transformation”为对象，采用定性/案例研究，属于探索/理论生成型研究；具体识别、模型与数据细节以全文复核为准。</x:v>
      </x:c>
      <x:c r="U72" s="42" t="str">
        <x:v>abstract</x:v>
      </x:c>
      <x:c r="V72" s="42" t="str">
        <x:v>待逐篇全文复核</x:v>
      </x:c>
      <x:c r="W72" s="42" t="str">
        <x:v>https://doi.org/10.25300/misq/2021/15333</x:v>
      </x:c>
      <x:c r="X72" s="42" t="str">
        <x:v>https://openalex.org/W3182101616</x:v>
      </x:c>
      <x:c r="Y72" s="43" t="str">
        <x:v>Online labor platforms (OLPs) can use algorithms along two dimensions: matching and control. While previous research has paid considerable attention to how OLPs optimize matching and accommodate market needs, OLPs can also employ algorithms to monitor and tightly control platform work. In this paper, we examine the nature of platform work on OLPs, and the role of algorithmic management in organizing how such work is…</x:v>
      </x:c>
    </x:row>
    <x:row r="73" ht="42" customHeight="1">
      <x:c r="A73" s="41" t="str">
        <x:v>P069</x:v>
      </x:c>
      <x:c r="B73" s="42" t="str">
        <x:v>recent_hot_2021_2025</x:v>
      </x:c>
      <x:c r="C73" s="42" t="str">
        <x:v>MIS Quarterly</x:v>
      </x:c>
      <x:c r="D73" s="42" t="str">
        <x:v>信息系统</x:v>
      </x:c>
      <x:c r="E73" s="42" t="str">
        <x:v>Will Humans-in-the-Loop Become Borgs? Merits and Pitfalls of Working with AI</x:v>
      </x:c>
      <x:c r="F73" s="42" t="str">
        <x:v>Andreas Fügener; Jörn Grahl; Alok Gupta; Wolfgang Ketter</x:v>
      </x:c>
      <x:c r="G73" s="48" t="n">
        <x:v>2021</x:v>
      </x:c>
      <x:c r="H73" s="42" t="str">
        <x:v>10.25300/misq/2021/16553</x:v>
      </x:c>
      <x:c r="I73" s="51" t="n">
        <x:v>271</x:v>
      </x:c>
      <x:c r="J73" s="51" t="n">
        <x:v>203</x:v>
      </x:c>
      <x:c r="K73" s="54" t="n">
        <x:v>90.058</x:v>
      </x:c>
      <x:c r="L73" s="42" t="str">
        <x:v>2026-07-12</x:v>
      </x:c>
      <x:c r="M73" s="42" t="str">
        <x:v>Ethics and Social Impacts of AI</x:v>
      </x:c>
      <x:c r="N73" s="42" t="str">
        <x:v>规范型/处方型</x:v>
      </x:c>
      <x:c r="O73" s="42" t="str">
        <x:v>随机过程/动态规划/仿真</x:v>
      </x:c>
      <x:c r="P73" s="42" t="str">
        <x:v>simulation study</x:v>
      </x:c>
      <x:c r="Q73" s="42" t="str">
        <x:v>模型参数/仿真或算例</x:v>
      </x:c>
      <x:c r="R73" s="42" t="str">
        <x:v>We analyze how advice from an AI affects complementarities between humans and AI, in particular what humans know that an AI does not know: “unique human knowledge.” In a multi-method study consisting of an analytical model, experimental studies, and a simulation study, our main finding is that human choices converge…</x:v>
      </x:c>
      <x:c r="S73" s="42" t="str">
        <x:v>管理决策→系统边界与假设→目标函数/约束→算法或求解器→理论性质→算例/仿真→敏感性→管理洞见</x:v>
      </x:c>
      <x:c r="T73" s="42" t="str">
        <x:v>以“Ethics and Social Impacts of AI”为对象，采用随机过程/动态规划/仿真，属于规范型/处方型研究；具体识别、模型与数据细节以全文复核为准。</x:v>
      </x:c>
      <x:c r="U73" s="42" t="str">
        <x:v>abstract</x:v>
      </x:c>
      <x:c r="V73" s="42" t="str">
        <x:v>待逐篇全文复核</x:v>
      </x:c>
      <x:c r="W73" s="42" t="str">
        <x:v>https://doi.org/10.25300/misq/2021/16553</x:v>
      </x:c>
      <x:c r="X73" s="42" t="str">
        <x:v>https://openalex.org/W3201195645</x:v>
      </x:c>
      <x:c r="Y73" s="43" t="str">
        <x:v>We analyze how advice from an AI affects complementarities between humans and AI, in particular what humans know that an AI does not know: “unique human knowledge.” In a multi-method study consisting of an analytical model, experimental studies, and a simulation study, our main finding is that human choices converge toward similar responses improving individual accuracy. However, as overall individual accuracy of…</x:v>
      </x:c>
    </x:row>
    <x:row r="74" ht="42" customHeight="1">
      <x:c r="A74" s="41" t="str">
        <x:v>P070</x:v>
      </x:c>
      <x:c r="B74" s="42" t="str">
        <x:v>recent_hot_2021_2025</x:v>
      </x:c>
      <x:c r="C74" s="42" t="str">
        <x:v>MIS Quarterly</x:v>
      </x:c>
      <x:c r="D74" s="42" t="str">
        <x:v>信息系统</x:v>
      </x:c>
      <x:c r="E74" s="42" t="str">
        <x:v>When the Machine Meets the Expert: An Ethnography of Developing AI for Hiring</x:v>
      </x:c>
      <x:c r="F74" s="42" t="str">
        <x:v>Elmira van den Broek; Anastasia Sergeeva; Marleen Huysman</x:v>
      </x:c>
      <x:c r="G74" s="48" t="n">
        <x:v>2021</x:v>
      </x:c>
      <x:c r="H74" s="42" t="str">
        <x:v>10.25300/misq/2021/16559</x:v>
      </x:c>
      <x:c r="I74" s="51" t="n">
        <x:v>299</x:v>
      </x:c>
      <x:c r="J74" s="51" t="n">
        <x:v>198</x:v>
      </x:c>
      <x:c r="K74" s="54" t="n">
        <x:v>88.716</x:v>
      </x:c>
      <x:c r="L74" s="42" t="str">
        <x:v>2026-07-12</x:v>
      </x:c>
      <x:c r="M74" s="42" t="str">
        <x:v>Ethics and Social Impacts of AI</x:v>
      </x:c>
      <x:c r="N74" s="42" t="str">
        <x:v>预测型/计算型</x:v>
      </x:c>
      <x:c r="O74" s="42" t="str">
        <x:v>机器学习/文本与预测分析</x:v>
      </x:c>
      <x:c r="P74" s="42" t="str">
        <x:v>machine learning; ethnograph</x:v>
      </x:c>
      <x:c r="Q74" s="42" t="str">
        <x:v>观察数据/数字痕迹/文本/时序</x:v>
      </x:c>
      <x:c r="R74" s="42" t="str">
        <x:v>The introduction of machine learning (ML) in organizations comes with the claim that algorithms will produce insights superior to those of experts by discovering the “truth” from data.</x:v>
      </x:c>
      <x:c r="S74" s="42" t="str">
        <x:v>预测/分类任务→数据与标签→特征/表示→训练与验证→基线比较→误差与解释→决策/部署约束</x:v>
      </x:c>
      <x:c r="T74" s="42" t="str">
        <x:v>以“Ethics and Social Impacts of AI”为对象，采用机器学习/文本与预测分析，属于预测型/计算型研究；具体识别、模型与数据细节以全文复核为准。</x:v>
      </x:c>
      <x:c r="U74" s="42" t="str">
        <x:v>abstract</x:v>
      </x:c>
      <x:c r="V74" s="42" t="str">
        <x:v>待逐篇全文复核</x:v>
      </x:c>
      <x:c r="W74" s="42" t="str">
        <x:v>https://doi.org/10.25300/misq/2021/16559</x:v>
      </x:c>
      <x:c r="X74" s="42" t="str">
        <x:v>https://openalex.org/W3181262202</x:v>
      </x:c>
      <x:c r="Y74" s="43" t="str">
        <x:v>The introduction of machine learning (ML) in organizations comes with the claim that algorithms will produce insights superior to those of experts by discovering the “truth” from data. Such a claim gives rise to a tension between the need to produce knowledge independent of domain experts and the need to remain relevant to the domain the system serves. This two-year ethnographic study focuses on how developers…</x:v>
      </x:c>
    </x:row>
    <x:row r="75" ht="42" customHeight="1">
      <x:c r="A75" s="41" t="str">
        <x:v>P071</x:v>
      </x:c>
      <x:c r="B75" s="42" t="str">
        <x:v>classic_high_cited</x:v>
      </x:c>
      <x:c r="C75" s="42" t="str">
        <x:v>INFORMS Journal on Computing</x:v>
      </x:c>
      <x:c r="D75" s="42" t="str">
        <x:v>计算方法与运筹算法</x:v>
      </x:c>
      <x:c r="E75" s="42" t="str">
        <x:v>Tabu Search—Part II</x:v>
      </x:c>
      <x:c r="F75" s="42" t="str">
        <x:v>Fred Glover</x:v>
      </x:c>
      <x:c r="G75" s="48" t="n">
        <x:v>1990</x:v>
      </x:c>
      <x:c r="H75" s="42" t="str">
        <x:v>10.1287/ijoc.2.1.4</x:v>
      </x:c>
      <x:c r="I75" s="51" t="n">
        <x:v>5644</x:v>
      </x:c>
      <x:c r="J75" s="51" t="n">
        <x:v>139</x:v>
      </x:c>
      <x:c r="K75" s="54" t="n">
        <x:v>45.897</x:v>
      </x:c>
      <x:c r="L75" s="42" t="str">
        <x:v>2026-07-12</x:v>
      </x:c>
      <x:c r="M75" s="42" t="str">
        <x:v>Optimization and Search Problems</x:v>
      </x:c>
      <x:c r="N75" s="42" t="str">
        <x:v>实证解释型</x:v>
      </x:c>
      <x:c r="O75" s="42" t="str">
        <x:v>结构方程/问卷实证</x:v>
      </x:c>
      <x:c r="P75" s="42" t="str">
        <x:v>survey of; neural network; integer programming; linear programming; metaheuristic</x:v>
      </x:c>
      <x:c r="Q75" s="42" t="str">
        <x:v>问卷/量表数据</x:v>
      </x:c>
      <x:c r="R75" s="42" t="str">
        <x:v>Finally, the paper concludes with a brief survey of new applications of tabu search that have occurred since the developments reported in Part I.</x:v>
      </x:c>
      <x:c r="S75" s="42" t="str">
        <x:v>理论框架→假设→构念/变量→样本与测量→统计模型→信效度/拟合→稳健性→理论与管理含义</x:v>
      </x:c>
      <x:c r="T75" s="42" t="str">
        <x:v>以“Optimization and Search Problems”为对象，采用结构方程/问卷实证，属于实证解释型研究；具体识别、模型与数据细节以全文复核为准。</x:v>
      </x:c>
      <x:c r="U75" s="42" t="str">
        <x:v>abstract</x:v>
      </x:c>
      <x:c r="V75" s="42" t="str">
        <x:v>待逐篇全文复核</x:v>
      </x:c>
      <x:c r="W75" s="42" t="str">
        <x:v>https://doi.org/10.1287/ijoc.2.1.4</x:v>
      </x:c>
      <x:c r="X75" s="42" t="str">
        <x:v>https://openalex.org/W2104670598</x:v>
      </x:c>
      <x:c r="Y75" s="43" t="str">
        <x:v>This is the second half of a two part series devoted to the tabu search metastrategy for optimization problems. Part I introduced the fundamental ideas of tabu search as an approach for guiding other heuristics to overcome the limitations of local optimality, both in a deterministic and a probabilistic framework. Part I also reported successful applications from a wide range of settings, in which tabu search…</x:v>
      </x:c>
    </x:row>
    <x:row r="76" ht="42" customHeight="1">
      <x:c r="A76" s="41" t="str">
        <x:v>P072</x:v>
      </x:c>
      <x:c r="B76" s="42" t="str">
        <x:v>classic_high_cited</x:v>
      </x:c>
      <x:c r="C76" s="42" t="str">
        <x:v>INFORMS Journal on Computing</x:v>
      </x:c>
      <x:c r="D76" s="42" t="str">
        <x:v>计算方法与运筹算法</x:v>
      </x:c>
      <x:c r="E76" s="42" t="str">
        <x:v>Tabu Search—Part I</x:v>
      </x:c>
      <x:c r="F76" s="42" t="str">
        <x:v>Fred Glover</x:v>
      </x:c>
      <x:c r="G76" s="48" t="n">
        <x:v>1989</x:v>
      </x:c>
      <x:c r="H76" s="42" t="str">
        <x:v>10.1287/ijoc.1.3.190</x:v>
      </x:c>
      <x:c r="I76" s="51" t="n">
        <x:v>4981</x:v>
      </x:c>
      <x:c r="J76" s="51" t="n">
        <x:v>427</x:v>
      </x:c>
      <x:c r="K76" s="54" t="n">
        <x:v>89.093</x:v>
      </x:c>
      <x:c r="L76" s="42" t="str">
        <x:v>2026-07-12</x:v>
      </x:c>
      <x:c r="M76" s="42" t="str">
        <x:v>Constraint Satisfaction and Optimization</x:v>
      </x:c>
      <x:c r="N76" s="42" t="str">
        <x:v>预测型/计算型</x:v>
      </x:c>
      <x:c r="O76" s="42" t="str">
        <x:v>机器学习/文本与预测分析</x:v>
      </x:c>
      <x:c r="P76" s="42" t="str">
        <x:v>neural network; mixed integer; integer programming; vehicle routing; traveling salesman; travelling salesman</x:v>
      </x:c>
      <x:c r="Q76" s="42" t="str">
        <x:v>观察数据/数字痕迹/文本/时序</x:v>
      </x:c>
      <x:c r="R76" s="42" t="str">
        <x:v>Included are illustrative data structures for implementing the tabu conditions (and associated aspiration criteria) that underlie these processes.</x:v>
      </x:c>
      <x:c r="S76" s="42" t="str">
        <x:v>预测/分类任务→数据与标签→特征/表示→训练与验证→基线比较→误差与解释→决策/部署约束</x:v>
      </x:c>
      <x:c r="T76" s="42" t="str">
        <x:v>以“Constraint Satisfaction and Optimization”为对象，采用机器学习/文本与预测分析，属于预测型/计算型研究；具体识别、模型与数据细节以全文复核为准。</x:v>
      </x:c>
      <x:c r="U76" s="42" t="str">
        <x:v>abstract</x:v>
      </x:c>
      <x:c r="V76" s="42" t="str">
        <x:v>待逐篇全文复核</x:v>
      </x:c>
      <x:c r="W76" s="42" t="str">
        <x:v>https://doi.org/10.1287/ijoc.1.3.190</x:v>
      </x:c>
      <x:c r="X76" s="42" t="str">
        <x:v>https://openalex.org/W4246598646</x:v>
      </x:c>
      <x:c r="Y76" s="43" t="str">
        <x:v>This paper presents the fundamental principles underlying tabu search as a strategy for combinatorial optimization problems. Tabu search has achieved impressive practical successes in applications ranging from scheduling and computer channel balancing to cluster analysis and space planning, and more recently has demonstrated its value in treating classical problems such as the traveling salesman and graph coloring…</x:v>
      </x:c>
    </x:row>
    <x:row r="77" ht="42" customHeight="1">
      <x:c r="A77" s="41" t="str">
        <x:v>P073</x:v>
      </x:c>
      <x:c r="B77" s="42" t="str">
        <x:v>classic_high_cited</x:v>
      </x:c>
      <x:c r="C77" s="42" t="str">
        <x:v>INFORMS Journal on Computing</x:v>
      </x:c>
      <x:c r="D77" s="42" t="str">
        <x:v>计算方法与运筹算法</x:v>
      </x:c>
      <x:c r="E77" s="42" t="str">
        <x:v>TSPLIB—A Traveling Salesman Problem Library</x:v>
      </x:c>
      <x:c r="F77" s="42" t="str">
        <x:v>Gerhard Reinelt</x:v>
      </x:c>
      <x:c r="G77" s="48" t="n">
        <x:v>1991</x:v>
      </x:c>
      <x:c r="H77" s="42" t="str">
        <x:v>10.1287/ijoc.3.4.376</x:v>
      </x:c>
      <x:c r="I77" s="51" t="n">
        <x:v>2579</x:v>
      </x:c>
      <x:c r="J77" s="51" t="n">
        <x:v>350</x:v>
      </x:c>
      <x:c r="K77" s="54" t="n">
        <x:v>69.246</x:v>
      </x:c>
      <x:c r="L77" s="42" t="str">
        <x:v>2026-07-12</x:v>
      </x:c>
      <x:c r="M77" s="42" t="str">
        <x:v>Metaheuristic Optimization Algorithms Research</x:v>
      </x:c>
      <x:c r="N77" s="42" t="str">
        <x:v>规范型/处方型</x:v>
      </x:c>
      <x:c r="O77" s="42" t="str">
        <x:v>优化与算法</x:v>
      </x:c>
      <x:c r="P77" s="42" t="str">
        <x:v>metaheuristic; traveling salesman; travelling salesman</x:v>
      </x:c>
      <x:c r="Q77" s="42" t="str">
        <x:v>模型参数/仿真或算例</x:v>
      </x:c>
      <x:c r="R77" s="42" t="str">
        <x:v>摘要未明确；需全文补录具体数据源、样本期与变量定义。</x:v>
      </x:c>
      <x:c r="S77" s="42" t="str">
        <x:v>管理决策→系统边界与假设→目标函数/约束→算法或求解器→理论性质→算例/仿真→敏感性→管理洞见</x:v>
      </x:c>
      <x:c r="T77" s="42" t="str">
        <x:v>以“Metaheuristic Optimization Algorithms Research”为对象，采用优化与算法，属于规范型/处方型研究；具体识别、模型与数据细节以全文复核为准。</x:v>
      </x:c>
      <x:c r="U77" s="42" t="str">
        <x:v>abstract</x:v>
      </x:c>
      <x:c r="V77" s="42" t="str">
        <x:v>待逐篇全文复核</x:v>
      </x:c>
      <x:c r="W77" s="42" t="str">
        <x:v>https://doi.org/10.1287/ijoc.3.4.376</x:v>
      </x:c>
      <x:c r="X77" s="42" t="str">
        <x:v>https://openalex.org/W2163428398</x:v>
      </x:c>
      <x:c r="Y77" s="43" t="str">
        <x:v>This paper contains the description of a traveling salesman problem library (TSPLIB) which is meant to provide researchers with a broad set of test problems from various sources and with various properties. For every problem a short description is given along with known lower and upper bounds. Several references to computational tests on some of the problems are given. INFORMS Journal on Computing, ISSN 1091-9856,…</x:v>
      </x:c>
    </x:row>
    <x:row r="78" ht="42" customHeight="1">
      <x:c r="A78" s="41" t="str">
        <x:v>P074</x:v>
      </x:c>
      <x:c r="B78" s="42" t="str">
        <x:v>classic_high_cited</x:v>
      </x:c>
      <x:c r="C78" s="42" t="str">
        <x:v>INFORMS Journal on Computing</x:v>
      </x:c>
      <x:c r="D78" s="42" t="str">
        <x:v>计算方法与运筹算法</x:v>
      </x:c>
      <x:c r="E78" s="42" t="str">
        <x:v>Genetic Algorithms and Random Keys for Sequencing and Optimization</x:v>
      </x:c>
      <x:c r="F78" s="42" t="str">
        <x:v>James C. Bean</x:v>
      </x:c>
      <x:c r="G78" s="48" t="n">
        <x:v>1994</x:v>
      </x:c>
      <x:c r="H78" s="42" t="str">
        <x:v>10.1287/ijoc.6.2.154</x:v>
      </x:c>
      <x:c r="I78" s="51" t="n">
        <x:v>1502</x:v>
      </x:c>
      <x:c r="J78" s="51" t="n">
        <x:v>137</x:v>
      </x:c>
      <x:c r="K78" s="54" t="n">
        <x:v>30.85</x:v>
      </x:c>
      <x:c r="L78" s="42" t="str">
        <x:v>2026-07-12</x:v>
      </x:c>
      <x:c r="M78" s="42" t="str">
        <x:v>Scheduling and Optimization Algorithms</x:v>
      </x:c>
      <x:c r="N78" s="42" t="str">
        <x:v>规范型/处方型</x:v>
      </x:c>
      <x:c r="O78" s="42" t="str">
        <x:v>优化与算法</x:v>
      </x:c>
      <x:c r="P78" s="42" t="str">
        <x:v>metaheuristic</x:v>
      </x:c>
      <x:c r="Q78" s="42" t="str">
        <x:v>模型参数/仿真或算例</x:v>
      </x:c>
      <x:c r="R78" s="42" t="str">
        <x:v>摘要未明确；需全文补录具体数据源、样本期与变量定义。</x:v>
      </x:c>
      <x:c r="S78" s="42" t="str">
        <x:v>管理决策→系统边界与假设→目标函数/约束→算法或求解器→理论性质→算例/仿真→敏感性→管理洞见</x:v>
      </x:c>
      <x:c r="T78" s="42" t="str">
        <x:v>以“Scheduling and Optimization Algorithms”为对象，采用优化与算法，属于规范型/处方型研究；具体识别、模型与数据细节以全文复核为准。</x:v>
      </x:c>
      <x:c r="U78" s="42" t="str">
        <x:v>abstract</x:v>
      </x:c>
      <x:c r="V78" s="42" t="str">
        <x:v>待逐篇全文复核</x:v>
      </x:c>
      <x:c r="W78" s="42" t="str">
        <x:v>https://doi.org/10.1287/ijoc.6.2.154</x:v>
      </x:c>
      <x:c r="X78" s="42" t="str">
        <x:v>https://openalex.org/W2168079536</x:v>
      </x:c>
      <x:c r="Y78" s="43" t="str">
        <x:v>In this paper we present a general genetic algorithm to address a wide variety of sequencing and optimization problems including multiple machine scheduling, resource allocation, and the quadratic assignment problem. When addressing such problems, genetic algorithms typically have difficulty maintaining feasibility from parent to offspring. This is overcome with a robust representation technique called random keys.…</x:v>
      </x:c>
    </x:row>
    <x:row r="79" ht="42" customHeight="1">
      <x:c r="A79" s="41" t="str">
        <x:v>P075</x:v>
      </x:c>
      <x:c r="B79" s="42" t="str">
        <x:v>classic_high_cited</x:v>
      </x:c>
      <x:c r="C79" s="42" t="str">
        <x:v>INFORMS Journal on Computing</x:v>
      </x:c>
      <x:c r="D79" s="42" t="str">
        <x:v>计算方法与运筹算法</x:v>
      </x:c>
      <x:c r="E79" s="42" t="str">
        <x:v>Combinatorial Auctions: A Survey</x:v>
      </x:c>
      <x:c r="F79" s="42" t="str">
        <x:v>Sven de Vries; Rakesh Vohra</x:v>
      </x:c>
      <x:c r="G79" s="48" t="n">
        <x:v>2003</x:v>
      </x:c>
      <x:c r="H79" s="42" t="str">
        <x:v>10.1287/ijoc.15.3.284.16077</x:v>
      </x:c>
      <x:c r="I79" s="51" t="n">
        <x:v>998</x:v>
      </x:c>
      <x:c r="J79" s="51" t="n">
        <x:v>45</x:v>
      </x:c>
      <x:c r="K79" s="54" t="n">
        <x:v>15.627</x:v>
      </x:c>
      <x:c r="L79" s="42" t="str">
        <x:v>2026-07-12</x:v>
      </x:c>
      <x:c r="M79" s="42" t="str">
        <x:v>Auction Theory and Applications</x:v>
      </x:c>
      <x:c r="N79" s="42" t="str">
        <x:v>解析型/机制解释</x:v>
      </x:c>
      <x:c r="O79" s="42" t="str">
        <x:v>博弈论/机制与契约</x:v>
      </x:c>
      <x:c r="P79" s="42" t="str">
        <x:v>auction</x:v>
      </x:c>
      <x:c r="Q79" s="42" t="str">
        <x:v>模型参数/仿真或算例</x:v>
      </x:c>
      <x:c r="R79" s="42" t="str">
        <x:v>This paper surveys the state of knowledge about the design of combinatorial auctions and presents some new insights.</x:v>
      </x:c>
      <x:c r="S79" s="42" t="str">
        <x:v>现实现象→参与者与机制→效用/利润/约束→均衡或结构参数→比较静态→经验/数值校准→机制含义</x:v>
      </x:c>
      <x:c r="T79" s="42" t="str">
        <x:v>以“Auction Theory and Applications”为对象，采用博弈论/机制与契约，属于解析型/机制解释研究；具体识别、模型与数据细节以全文复核为准。</x:v>
      </x:c>
      <x:c r="U79" s="42" t="str">
        <x:v>abstract</x:v>
      </x:c>
      <x:c r="V79" s="42" t="str">
        <x:v>待逐篇全文复核</x:v>
      </x:c>
      <x:c r="W79" s="42" t="str">
        <x:v>https://doi.org/10.1287/ijoc.15.3.284.16077</x:v>
      </x:c>
      <x:c r="X79" s="42" t="str">
        <x:v>https://openalex.org/W2110383956</x:v>
      </x:c>
      <x:c r="Y79" s="43" t="str">
        <x:v>Many auctions involve the sale of a variety of distinct assets. Examples are airport time slots, delivery routes, network routing, and furniture. Because of complementarities or substitution effects between the different assets, bidders have preferences not just for particular items but for sets of items. For this reason, economic efficiency is enhanced if bidders are allowed to bid on bundles or combinations of…</x:v>
      </x:c>
    </x:row>
    <x:row r="80" ht="42" customHeight="1">
      <x:c r="A80" s="41" t="str">
        <x:v>P076</x:v>
      </x:c>
      <x:c r="B80" s="42" t="str">
        <x:v>recent_hot_2021_2025</x:v>
      </x:c>
      <x:c r="C80" s="42" t="str">
        <x:v>INFORMS Journal on Computing</x:v>
      </x:c>
      <x:c r="D80" s="42" t="str">
        <x:v>计算方法与运筹算法</x:v>
      </x:c>
      <x:c r="E80" s="42" t="str">
        <x:v>Mixed-Integer Programming vs. Constraint Programming for Shop Scheduling Problems: New Results and Outlook</x:v>
      </x:c>
      <x:c r="F80" s="42" t="str">
        <x:v>Bahman Naderi; Rubén Ruíz; Vahid Roshanaei</x:v>
      </x:c>
      <x:c r="G80" s="48" t="n">
        <x:v>2023</x:v>
      </x:c>
      <x:c r="H80" s="42" t="str">
        <x:v>10.1287/ijoc.2023.1287</x:v>
      </x:c>
      <x:c r="I80" s="51" t="n">
        <x:v>88</x:v>
      </x:c>
      <x:c r="J80" s="51" t="n">
        <x:v>81</x:v>
      </x:c>
      <x:c r="K80" s="54" t="n">
        <x:v>44.3</x:v>
      </x:c>
      <x:c r="L80" s="42" t="str">
        <x:v>2026-07-12</x:v>
      </x:c>
      <x:c r="M80" s="42" t="str">
        <x:v>Scheduling and Optimization Algorithms</x:v>
      </x:c>
      <x:c r="N80" s="42" t="str">
        <x:v>规范型/处方型</x:v>
      </x:c>
      <x:c r="O80" s="42" t="str">
        <x:v>优化与算法</x:v>
      </x:c>
      <x:c r="P80" s="42" t="str">
        <x:v>mixed-integer; integer programming; scheduling problem; shop scheduling</x:v>
      </x:c>
      <x:c r="Q80" s="42" t="str">
        <x:v>模型参数/仿真或算例</x:v>
      </x:c>
      <x:c r="R80" s="42" t="str">
        <x:v>The computational campaign encompasses almost 6,623 experiments and evaluates the MIP and CP models along five dimensions of problem characteristics, objective function, decision variables, input parameters, and quality of bounds.</x:v>
      </x:c>
      <x:c r="S80" s="42" t="str">
        <x:v>管理决策→系统边界与假设→目标函数/约束→算法或求解器→理论性质→算例/仿真→敏感性→管理洞见</x:v>
      </x:c>
      <x:c r="T80" s="42" t="str">
        <x:v>以“Scheduling and Optimization Algorithms”为对象，采用优化与算法，属于规范型/处方型研究；具体识别、模型与数据细节以全文复核为准。</x:v>
      </x:c>
      <x:c r="U80" s="42" t="str">
        <x:v>abstract</x:v>
      </x:c>
      <x:c r="V80" s="42" t="str">
        <x:v>待逐篇全文复核</x:v>
      </x:c>
      <x:c r="W80" s="42" t="str">
        <x:v>https://doi.org/10.1287/ijoc.2023.1287</x:v>
      </x:c>
      <x:c r="X80" s="42" t="str">
        <x:v>https://openalex.org/W4353070770</x:v>
      </x:c>
      <x:c r="Y80" s="43" t="str">
        <x:v>Constraint programming (CP) has been recently in the spotlight after new CP-based procedures have been incorporated into state-of-the-art solvers, most notably the CP Optimizer from IBM. Classical CP solvers were only capable of guaranteeing the optimality of a solution, but they could not provide bounds for the integer feasible solutions found if interrupted prematurely due to, say, time limits. New versions,…</x:v>
      </x:c>
    </x:row>
    <x:row r="81" ht="42" customHeight="1">
      <x:c r="A81" s="41" t="str">
        <x:v>P077</x:v>
      </x:c>
      <x:c r="B81" s="42" t="str">
        <x:v>recent_hot_2021_2025</x:v>
      </x:c>
      <x:c r="C81" s="42" t="str">
        <x:v>INFORMS Journal on Computing</x:v>
      </x:c>
      <x:c r="D81" s="42" t="str">
        <x:v>计算方法与运筹算法</x:v>
      </x:c>
      <x:c r="E81" s="42" t="str">
        <x:v>PyVRP: A High-Performance VRP Solver Package</x:v>
      </x:c>
      <x:c r="F81" s="42" t="str">
        <x:v>Niels A. Wouda; Leon Lan; Wouter Kool</x:v>
      </x:c>
      <x:c r="G81" s="48" t="n">
        <x:v>2024</x:v>
      </x:c>
      <x:c r="H81" s="42" t="str">
        <x:v>10.1287/ijoc.2023.0055</x:v>
      </x:c>
      <x:c r="I81" s="51" t="n">
        <x:v>52</x:v>
      </x:c>
      <x:c r="J81" s="51" t="n">
        <x:v>51</x:v>
      </x:c>
      <x:c r="K81" s="54" t="n">
        <x:v>32.622</x:v>
      </x:c>
      <x:c r="L81" s="42" t="str">
        <x:v>2026-07-12</x:v>
      </x:c>
      <x:c r="M81" s="42" t="str">
        <x:v>Vehicle Routing Optimization Methods</x:v>
      </x:c>
      <x:c r="N81" s="42" t="str">
        <x:v>规范型/处方型</x:v>
      </x:c>
      <x:c r="O81" s="42" t="str">
        <x:v>优化与算法</x:v>
      </x:c>
      <x:c r="P81" s="42" t="str">
        <x:v>metaheuristic; vehicle routing; routing problem; solver package</x:v>
      </x:c>
      <x:c r="Q81" s="42" t="str">
        <x:v>模型参数/仿真或算例</x:v>
      </x:c>
      <x:c r="R81" s="42" t="str">
        <x:v>Through numerical experiments, we show that PyVRP achieves state-of-the-art results on the VRPTW and capacitated VRP.</x:v>
      </x:c>
      <x:c r="S81" s="42" t="str">
        <x:v>管理决策→系统边界与假设→目标函数/约束→算法或求解器→理论性质→算例/仿真→敏感性→管理洞见</x:v>
      </x:c>
      <x:c r="T81" s="42" t="str">
        <x:v>以“Vehicle Routing Optimization Methods”为对象，采用优化与算法，属于规范型/处方型研究；具体识别、模型与数据细节以全文复核为准。</x:v>
      </x:c>
      <x:c r="U81" s="42" t="str">
        <x:v>abstract</x:v>
      </x:c>
      <x:c r="V81" s="42" t="str">
        <x:v>待逐篇全文复核</x:v>
      </x:c>
      <x:c r="W81" s="42" t="str">
        <x:v>https://doi.org/10.1287/ijoc.2023.0055</x:v>
      </x:c>
      <x:c r="X81" s="42" t="str">
        <x:v>https://openalex.org/W4391315348</x:v>
      </x:c>
      <x:c r="Y81" s="43" t="str">
        <x:v>We introduce PyVRP, a Python package that implements hybrid genetic search in a state-of-the-art vehicle routing problem (VRP) solver. The package is designed for the VRP with time windows (VRPTW) but can be easily extended to support other VRP variants. PyVRP combines the flexibility of Python with the performance of C++ by implementing (only) performance-critical parts of the algorithm in C++ while being fully…</x:v>
      </x:c>
    </x:row>
    <x:row r="82" ht="42" customHeight="1">
      <x:c r="A82" s="41" t="str">
        <x:v>P078</x:v>
      </x:c>
      <x:c r="B82" s="42" t="str">
        <x:v>recent_hot_2021_2025</x:v>
      </x:c>
      <x:c r="C82" s="42" t="str">
        <x:v>INFORMS Journal on Computing</x:v>
      </x:c>
      <x:c r="D82" s="42" t="str">
        <x:v>计算方法与运筹算法</x:v>
      </x:c>
      <x:c r="E82" s="42" t="str">
        <x:v>Integrated Backup Rolling Stock Allocation and Timetable Rescheduling with Uncertain Time-Variant Passenger Demand Under Disruptive Events</x:v>
      </x:c>
      <x:c r="F82" s="42" t="str">
        <x:v>Jiateng Yin; Lixing Yang; Andrea D’Ariano; Tao Tang; Ziyou Gao</x:v>
      </x:c>
      <x:c r="G82" s="48" t="n">
        <x:v>2022</x:v>
      </x:c>
      <x:c r="H82" s="42" t="str">
        <x:v>10.1287/ijoc.2022.1233</x:v>
      </x:c>
      <x:c r="I82" s="51" t="n">
        <x:v>64</x:v>
      </x:c>
      <x:c r="J82" s="51" t="n">
        <x:v>52</x:v>
      </x:c>
      <x:c r="K82" s="54" t="n">
        <x:v>25.622</x:v>
      </x:c>
      <x:c r="L82" s="42" t="str">
        <x:v>2026-07-12</x:v>
      </x:c>
      <x:c r="M82" s="42" t="str">
        <x:v>Railway Systems and Energy Efficiency</x:v>
      </x:c>
      <x:c r="N82" s="42" t="str">
        <x:v>规范型/处方型</x:v>
      </x:c>
      <x:c r="O82" s="42" t="str">
        <x:v>优化与算法</x:v>
      </x:c>
      <x:c r="P82" s="42" t="str">
        <x:v>stochastic programming; case studies</x:v>
      </x:c>
      <x:c r="Q82" s="42" t="str">
        <x:v>模型参数/仿真或算例</x:v>
      </x:c>
      <x:c r="R82" s="42" t="str">
        <x:v>Real-world case studies based on historical data from the Beijing metro verify the effectiveness of the proposed approach in reducing the travel time for passengers.</x:v>
      </x:c>
      <x:c r="S82" s="42" t="str">
        <x:v>管理决策→系统边界与假设→目标函数/约束→算法或求解器→理论性质→算例/仿真→敏感性→管理洞见</x:v>
      </x:c>
      <x:c r="T82" s="42" t="str">
        <x:v>以“Railway Systems and Energy Efficiency”为对象，采用优化与算法，属于规范型/处方型研究；具体识别、模型与数据细节以全文复核为准。</x:v>
      </x:c>
      <x:c r="U82" s="42" t="str">
        <x:v>abstract</x:v>
      </x:c>
      <x:c r="V82" s="42" t="str">
        <x:v>待逐篇全文复核</x:v>
      </x:c>
      <x:c r="W82" s="42" t="str">
        <x:v>https://doi.org/10.1287/ijoc.2022.1233</x:v>
      </x:c>
      <x:c r="X82" s="42" t="str">
        <x:v>https://openalex.org/W4296714551</x:v>
      </x:c>
      <x:c r="Y82" s="43" t="str">
        <x:v>Railway traffic management focuses on regulating train movements and delivering improved service quality to passengers; however, such efforts are subject to many uncertainties in terms of disruptions and passenger demand on a rail transit line. In contrast to most existing studies, which focus on the rescheduling of passenger timetables in a deterministic framework, this study proposes a two-stage stochastic…</x:v>
      </x:c>
    </x:row>
    <x:row r="83" ht="42" customHeight="1">
      <x:c r="A83" s="41" t="str">
        <x:v>P079</x:v>
      </x:c>
      <x:c r="B83" s="42" t="str">
        <x:v>recent_hot_2021_2025</x:v>
      </x:c>
      <x:c r="C83" s="42" t="str">
        <x:v>INFORMS Journal on Computing</x:v>
      </x:c>
      <x:c r="D83" s="42" t="str">
        <x:v>计算方法与运筹算法</x:v>
      </x:c>
      <x:c r="E83" s="42" t="str">
        <x:v>Scalable Vertiport Hub Location Selection for Air Taxi Operations in a Metropolitan Region</x:v>
      </x:c>
      <x:c r="F83" s="42" t="str">
        <x:v>Liting Chen; Sebastian Wandelt; Weibin Dai; Xiaoqian Sun</x:v>
      </x:c>
      <x:c r="G83" s="48" t="n">
        <x:v>2021</x:v>
      </x:c>
      <x:c r="H83" s="42" t="str">
        <x:v>10.1287/ijoc.2021.1109</x:v>
      </x:c>
      <x:c r="I83" s="51" t="n">
        <x:v>70</x:v>
      </x:c>
      <x:c r="J83" s="51" t="n">
        <x:v>57</x:v>
      </x:c>
      <x:c r="K83" s="54" t="n">
        <x:v>25.428</x:v>
      </x:c>
      <x:c r="L83" s="42" t="str">
        <x:v>2026-07-12</x:v>
      </x:c>
      <x:c r="M83" s="42" t="str">
        <x:v>Transportation and Mobility Innovations</x:v>
      </x:c>
      <x:c r="N83" s="42" t="str">
        <x:v>规范型/处方型</x:v>
      </x:c>
      <x:c r="O83" s="42" t="str">
        <x:v>优化与算法</x:v>
      </x:c>
      <x:c r="P83" s="42" t="str">
        <x:v>vehicle routing; location selection</x:v>
      </x:c>
      <x:c r="Q83" s="42" t="str">
        <x:v>模型参数/仿真或算例</x:v>
      </x:c>
      <x:c r="R83" s="42" t="str">
        <x:v>We propose a novel variable neighborhood search heuristic, which is able to solve 12 × 12 grid instances within a few seconds of computation time and zero gaps in our experiments, whereas CPLEX needs up to 10 hours.</x:v>
      </x:c>
      <x:c r="S83" s="42" t="str">
        <x:v>管理决策→系统边界与假设→目标函数/约束→算法或求解器→理论性质→算例/仿真→敏感性→管理洞见</x:v>
      </x:c>
      <x:c r="T83" s="42" t="str">
        <x:v>以“Transportation and Mobility Innovations”为对象，采用优化与算法，属于规范型/处方型研究；具体识别、模型与数据细节以全文复核为准。</x:v>
      </x:c>
      <x:c r="U83" s="42" t="str">
        <x:v>abstract</x:v>
      </x:c>
      <x:c r="V83" s="42" t="str">
        <x:v>待逐篇全文复核</x:v>
      </x:c>
      <x:c r="W83" s="42" t="str">
        <x:v>https://doi.org/10.1287/ijoc.2021.1109</x:v>
      </x:c>
      <x:c r="X83" s="42" t="str">
        <x:v>https://openalex.org/W3215960726</x:v>
      </x:c>
      <x:c r="Y83" s="43" t="str">
        <x:v>On-demand air mobility services, often called air taxis, are on the way to revolutionize our urban/regional transportation sector by lifting transportation to the third dimension and thus possibly contribute to solving the congestion-induced transportation deadlock many metropolitan regions face today. Although existing research mainly focuses on the design of efficient vehicles and specifically battery technology,…</x:v>
      </x:c>
    </x:row>
    <x:row r="84" ht="42" customHeight="1">
      <x:c r="A84" s="41" t="str">
        <x:v>P080</x:v>
      </x:c>
      <x:c r="B84" s="42" t="str">
        <x:v>recent_hot_2021_2025</x:v>
      </x:c>
      <x:c r="C84" s="42" t="str">
        <x:v>INFORMS Journal on Computing</x:v>
      </x:c>
      <x:c r="D84" s="42" t="str">
        <x:v>计算方法与运筹算法</x:v>
      </x:c>
      <x:c r="E84" s="42" t="str">
        <x:v>Optimising Electric Vehicle Charging Station Placement Using Advanced Discrete Choice Models</x:v>
      </x:c>
      <x:c r="F84" s="42" t="str">
        <x:v>Steven J. Lamontagne; Margarida Carvalho; Emma Frejinger; Bernard Gendron; Miguel F. Anjos; Ribal Atallah</x:v>
      </x:c>
      <x:c r="G84" s="48" t="n">
        <x:v>2023</x:v>
      </x:c>
      <x:c r="H84" s="42" t="str">
        <x:v>10.1287/ijoc.2022.0185</x:v>
      </x:c>
      <x:c r="I84" s="51" t="n">
        <x:v>47</x:v>
      </x:c>
      <x:c r="J84" s="51" t="n">
        <x:v>46</x:v>
      </x:c>
      <x:c r="K84" s="54" t="n">
        <x:v>25.262</x:v>
      </x:c>
      <x:c r="L84" s="42" t="str">
        <x:v>2026-07-12</x:v>
      </x:c>
      <x:c r="M84" s="42" t="str">
        <x:v>Electric Vehicles and Infrastructure</x:v>
      </x:c>
      <x:c r="N84" s="42" t="str">
        <x:v>规范型/处方型</x:v>
      </x:c>
      <x:c r="O84" s="42" t="str">
        <x:v>优化与算法</x:v>
      </x:c>
      <x:c r="P84" s="42" t="str">
        <x:v>charging station placement; discrete choice</x:v>
      </x:c>
      <x:c r="Q84" s="42" t="str">
        <x:v>模型参数/仿真或算例</x:v>
      </x:c>
      <x:c r="R84" s="42" t="str">
        <x:v>We adopt a simulation approach and precompute error terms for each option available to users for a given number of scenarios.</x:v>
      </x:c>
      <x:c r="S84" s="42" t="str">
        <x:v>管理决策→系统边界与假设→目标函数/约束→算法或求解器→理论性质→算例/仿真→敏感性→管理洞见</x:v>
      </x:c>
      <x:c r="T84" s="42" t="str">
        <x:v>以“Electric Vehicles and Infrastructure”为对象，采用优化与算法，属于规范型/处方型研究；具体识别、模型与数据细节以全文复核为准。</x:v>
      </x:c>
      <x:c r="U84" s="42" t="str">
        <x:v>abstract</x:v>
      </x:c>
      <x:c r="V84" s="42" t="str">
        <x:v>待逐篇全文复核</x:v>
      </x:c>
      <x:c r="W84" s="42" t="str">
        <x:v>https://doi.org/10.1287/ijoc.2022.0185</x:v>
      </x:c>
      <x:c r="X84" s="42" t="str">
        <x:v>https://openalex.org/W4378219327</x:v>
      </x:c>
      <x:c r="Y84" s="43" t="str">
        <x:v>We present a new model for finding the optimal placement of electric vehicle charging stations across a multiperiod time frame so as to maximise electric vehicle adoption. Via the use of stochastic discrete choice models and user classes, this work allows for a granular modelling of user attributes and their preferences in regard to charging station characteristics. We adopt a simulation approach and precompute…</x:v>
      </x:c>
    </x:row>
    <x:row r="85" ht="42" customHeight="1">
      <x:c r="A85" s="41" t="str">
        <x:v>P081</x:v>
      </x:c>
      <x:c r="B85" s="42" t="str">
        <x:v>classic_high_cited</x:v>
      </x:c>
      <x:c r="C85" s="42" t="str">
        <x:v>Transportation Science</x:v>
      </x:c>
      <x:c r="D85" s="42" t="str">
        <x:v>交通运输与物流</x:v>
      </x:c>
      <x:c r="E85" s="42" t="str">
        <x:v>An Adaptive Large Neighborhood Search Heuristic for the Pickup and Delivery Problem with Time Windows</x:v>
      </x:c>
      <x:c r="F85" s="42" t="str">
        <x:v>Stefan Røpke; David Pisinger</x:v>
      </x:c>
      <x:c r="G85" s="48" t="n">
        <x:v>2006</x:v>
      </x:c>
      <x:c r="H85" s="42" t="str">
        <x:v>10.1287/trsc.1050.0135</x:v>
      </x:c>
      <x:c r="I85" s="51" t="n">
        <x:v>2412</x:v>
      </x:c>
      <x:c r="J85" s="51" t="n">
        <x:v>786</x:v>
      </x:c>
      <x:c r="K85" s="54" t="n">
        <x:v>188.966</x:v>
      </x:c>
      <x:c r="L85" s="42" t="str">
        <x:v>2026-07-12</x:v>
      </x:c>
      <x:c r="M85" s="42" t="str">
        <x:v>Vehicle Routing Optimization Methods</x:v>
      </x:c>
      <x:c r="N85" s="42" t="str">
        <x:v>规范型/处方型</x:v>
      </x:c>
      <x:c r="O85" s="42" t="str">
        <x:v>优化与算法</x:v>
      </x:c>
      <x:c r="P85" s="42" t="str">
        <x:v>vehicle routing; routing problem</x:v>
      </x:c>
      <x:c r="Q85" s="42" t="str">
        <x:v>模型参数/仿真或算例</x:v>
      </x:c>
      <x:c r="R85" s="42" t="str">
        <x:v>The computational experiments indicate that it is advantageous to use several competing subheuristics instead of just one.</x:v>
      </x:c>
      <x:c r="S85" s="42" t="str">
        <x:v>管理决策→系统边界与假设→目标函数/约束→算法或求解器→理论性质→算例/仿真→敏感性→管理洞见</x:v>
      </x:c>
      <x:c r="T85" s="42" t="str">
        <x:v>以“Vehicle Routing Optimization Methods”为对象，采用优化与算法，属于规范型/处方型研究；具体识别、模型与数据细节以全文复核为准。</x:v>
      </x:c>
      <x:c r="U85" s="42" t="str">
        <x:v>abstract</x:v>
      </x:c>
      <x:c r="V85" s="42" t="str">
        <x:v>待逐篇全文复核</x:v>
      </x:c>
      <x:c r="W85" s="42" t="str">
        <x:v>https://doi.org/10.1287/trsc.1050.0135</x:v>
      </x:c>
      <x:c r="X85" s="42" t="str">
        <x:v>https://openalex.org/W2105002757</x:v>
      </x:c>
      <x:c r="Y85" s="43" t="str">
        <x:v>The pickup and delivery problem with time windows is the problem of serving a number of transportation requests using a limited amount of vehicles. Each request involves moving a number of goods from a pickup location to a delivery location. Our task is to construct routes that visit all locations such that corresponding pickups and deliveries are placed on the same route, and such that a pickup is performed before…</x:v>
      </x:c>
    </x:row>
    <x:row r="86" ht="42" customHeight="1">
      <x:c r="A86" s="41" t="str">
        <x:v>P082</x:v>
      </x:c>
      <x:c r="B86" s="42" t="str">
        <x:v>classic_high_cited</x:v>
      </x:c>
      <x:c r="C86" s="42" t="str">
        <x:v>Transportation Science</x:v>
      </x:c>
      <x:c r="D86" s="42" t="str">
        <x:v>交通运输与物流</x:v>
      </x:c>
      <x:c r="E86" s="42" t="str">
        <x:v>Self-Organized Pedestrian Crowd Dynamics: Experiments, Simulations, and Design Solutions</x:v>
      </x:c>
      <x:c r="F86" s="42" t="str">
        <x:v>Dirk Helbing; Ľuboš Buzna; Anders Johansson; Torsten Werner</x:v>
      </x:c>
      <x:c r="G86" s="48" t="n">
        <x:v>2005</x:v>
      </x:c>
      <x:c r="H86" s="42" t="str">
        <x:v>10.1287/trsc.1040.0108</x:v>
      </x:c>
      <x:c r="I86" s="51" t="n">
        <x:v>1472</x:v>
      </x:c>
      <x:c r="J86" s="51" t="n">
        <x:v>190</x:v>
      </x:c>
      <x:c r="K86" s="54" t="n">
        <x:v>50.758</x:v>
      </x:c>
      <x:c r="L86" s="42" t="str">
        <x:v>2026-07-12</x:v>
      </x:c>
      <x:c r="M86" s="42" t="str">
        <x:v>Evacuation and Crowd Dynamics</x:v>
      </x:c>
      <x:c r="N86" s="42" t="str">
        <x:v>规范型/处方型</x:v>
      </x:c>
      <x:c r="O86" s="42" t="str">
        <x:v>随机过程/动态规划/仿真</x:v>
      </x:c>
      <x:c r="P86" s="42" t="str">
        <x:v>shock waves</x:v>
      </x:c>
      <x:c r="Q86" s="42" t="str">
        <x:v>模型参数/仿真或算例</x:v>
      </x:c>
      <x:c r="R86" s="42" t="str">
        <x:v>To test simulation models of pedestrian flows, we have performed experiments for corridors, bottleneck areas, and intersections.</x:v>
      </x:c>
      <x:c r="S86" s="42" t="str">
        <x:v>管理决策→系统边界与假设→目标函数/约束→算法或求解器→理论性质→算例/仿真→敏感性→管理洞见</x:v>
      </x:c>
      <x:c r="T86" s="42" t="str">
        <x:v>以“Evacuation and Crowd Dynamics”为对象，采用随机过程/动态规划/仿真，属于规范型/处方型研究；具体识别、模型与数据细节以全文复核为准。</x:v>
      </x:c>
      <x:c r="U86" s="42" t="str">
        <x:v>abstract</x:v>
      </x:c>
      <x:c r="V86" s="42" t="str">
        <x:v>待逐篇全文复核</x:v>
      </x:c>
      <x:c r="W86" s="42" t="str">
        <x:v>https://doi.org/10.1287/trsc.1040.0108</x:v>
      </x:c>
      <x:c r="X86" s="42" t="str">
        <x:v>https://openalex.org/W2132505539</x:v>
      </x:c>
      <x:c r="Y86" s="43" t="str">
        <x:v>To test simulation models of pedestrian flows, we have performed experiments for corridors, bottleneck areas, and intersections. Our evaluations of video recordings show that the geometric boundary conditions are not only relevant for the capacity of the elements of pedestrian facilities, they also influence the time gap distribution of pedestrians, indicating the existence of self-organization phenomena. After…</x:v>
      </x:c>
    </x:row>
    <x:row r="87" ht="42" customHeight="1">
      <x:c r="A87" s="41" t="str">
        <x:v>P083</x:v>
      </x:c>
      <x:c r="B87" s="42" t="str">
        <x:v>classic_high_cited</x:v>
      </x:c>
      <x:c r="C87" s="42" t="str">
        <x:v>Transportation Science</x:v>
      </x:c>
      <x:c r="D87" s="42" t="str">
        <x:v>交通运输与物流</x:v>
      </x:c>
      <x:c r="E87" s="42" t="str">
        <x:v>Network Design and Transportation Planning: Models and Algorithms</x:v>
      </x:c>
      <x:c r="F87" s="42" t="str">
        <x:v>Thomas L. Magnanti; Richard T. Wong</x:v>
      </x:c>
      <x:c r="G87" s="48" t="n">
        <x:v>1984</x:v>
      </x:c>
      <x:c r="H87" s="42" t="str">
        <x:v>10.1287/trsc.18.1.1</x:v>
      </x:c>
      <x:c r="I87" s="51" t="n">
        <x:v>1286</x:v>
      </x:c>
      <x:c r="J87" s="51" t="n">
        <x:v>92</x:v>
      </x:c>
      <x:c r="K87" s="54" t="n">
        <x:v>18.668</x:v>
      </x:c>
      <x:c r="L87" s="42" t="str">
        <x:v>2026-07-12</x:v>
      </x:c>
      <x:c r="M87" s="42" t="str">
        <x:v>Transportation Planning and Optimization</x:v>
      </x:c>
      <x:c r="N87" s="42" t="str">
        <x:v>规范型/处方型</x:v>
      </x:c>
      <x:c r="O87" s="42" t="str">
        <x:v>优化与算法</x:v>
      </x:c>
      <x:c r="P87" s="42" t="str">
        <x:v>integer programming; vehicle routing; network design; discrete choice</x:v>
      </x:c>
      <x:c r="Q87" s="42" t="str">
        <x:v>模型参数/仿真或算例</x:v>
      </x:c>
      <x:c r="R87" s="42" t="str">
        <x:v>摘要未明确；需全文补录具体数据源、样本期与变量定义。</x:v>
      </x:c>
      <x:c r="S87" s="42" t="str">
        <x:v>管理决策→系统边界与假设→目标函数/约束→算法或求解器→理论性质→算例/仿真→敏感性→管理洞见</x:v>
      </x:c>
      <x:c r="T87" s="42" t="str">
        <x:v>以“Transportation Planning and Optimization”为对象，采用优化与算法，属于规范型/处方型研究；具体识别、模型与数据细节以全文复核为准。</x:v>
      </x:c>
      <x:c r="U87" s="42" t="str">
        <x:v>abstract</x:v>
      </x:c>
      <x:c r="V87" s="42" t="str">
        <x:v>待逐篇全文复核</x:v>
      </x:c>
      <x:c r="W87" s="42" t="str">
        <x:v>https://doi.org/10.1287/trsc.18.1.1</x:v>
      </x:c>
      <x:c r="X87" s="42" t="str">
        <x:v>https://openalex.org/W2171985270</x:v>
      </x:c>
      <x:c r="Y87" s="43" t="str">
        <x:v>Numerous transportation applications as diverse as capital investment decision-making, vehicle fleet planning, and traffic light signal setting all involve some form of (discrete choice) network design. In this paper, we review some of the uses and limitations of integer programming-based approaches to network design, and describe several discrete and continuous choice models and algorithms. Our objectives are…</x:v>
      </x:c>
    </x:row>
    <x:row r="88" ht="42" customHeight="1">
      <x:c r="A88" s="41" t="str">
        <x:v>P084</x:v>
      </x:c>
      <x:c r="B88" s="42" t="str">
        <x:v>classic_high_cited</x:v>
      </x:c>
      <x:c r="C88" s="42" t="str">
        <x:v>Transportation Science</x:v>
      </x:c>
      <x:c r="D88" s="42" t="str">
        <x:v>交通运输与物流</x:v>
      </x:c>
      <x:c r="E88" s="42" t="str">
        <x:v>The Electric Vehicle-Routing Problem with Time Windows and Recharging Stations</x:v>
      </x:c>
      <x:c r="F88" s="42" t="str">
        <x:v>Michael Schneider; A. Stenger; Dominik Goeke</x:v>
      </x:c>
      <x:c r="G88" s="48" t="n">
        <x:v>2014</x:v>
      </x:c>
      <x:c r="H88" s="42" t="str">
        <x:v>10.1287/trsc.2013.0490</x:v>
      </x:c>
      <x:c r="I88" s="51" t="n">
        <x:v>1247</x:v>
      </x:c>
      <x:c r="J88" s="51" t="n">
        <x:v>410</x:v>
      </x:c>
      <x:c r="K88" s="54" t="n">
        <x:v>128.379</x:v>
      </x:c>
      <x:c r="L88" s="42" t="str">
        <x:v>2026-07-12</x:v>
      </x:c>
      <x:c r="M88" s="42" t="str">
        <x:v>Vehicle Routing Optimization Methods</x:v>
      </x:c>
      <x:c r="N88" s="42" t="str">
        <x:v>规范型/处方型</x:v>
      </x:c>
      <x:c r="O88" s="42" t="str">
        <x:v>优化与算法</x:v>
      </x:c>
      <x:c r="P88" s="42" t="str">
        <x:v>vehicle routing; routing problem</x:v>
      </x:c>
      <x:c r="Q88" s="42" t="str">
        <x:v>模型参数/仿真或算例</x:v>
      </x:c>
      <x:c r="R88" s="42" t="str">
        <x:v>摘要未明确；需全文补录具体数据源、样本期与变量定义。</x:v>
      </x:c>
      <x:c r="S88" s="42" t="str">
        <x:v>管理决策→系统边界与假设→目标函数/约束→算法或求解器→理论性质→算例/仿真→敏感性→管理洞见</x:v>
      </x:c>
      <x:c r="T88" s="42" t="str">
        <x:v>以“Vehicle Routing Optimization Methods”为对象，采用优化与算法，属于规范型/处方型研究；具体识别、模型与数据细节以全文复核为准。</x:v>
      </x:c>
      <x:c r="U88" s="42" t="str">
        <x:v>abstract</x:v>
      </x:c>
      <x:c r="V88" s="42" t="str">
        <x:v>待逐篇全文复核</x:v>
      </x:c>
      <x:c r="W88" s="42" t="str">
        <x:v>https://doi.org/10.1287/trsc.2013.0490</x:v>
      </x:c>
      <x:c r="X88" s="42" t="str">
        <x:v>https://openalex.org/W2094764575</x:v>
      </x:c>
      <x:c r="Y88" s="43" t="str">
        <x:v>Driven by new laws and regulations concerning the emission of greenhouse gases, carriers are starting to use electric vehicles for last-mile deliveries. The limited battery capacities of these vehicles necessitate visits to recharging stations during delivery tours of industry-typical length, which have to be considered in the route planning to avoid inefficient vehicle routes with long detours. We introduce the…</x:v>
      </x:c>
    </x:row>
    <x:row r="89" ht="42" customHeight="1">
      <x:c r="A89" s="41" t="str">
        <x:v>P085</x:v>
      </x:c>
      <x:c r="B89" s="42" t="str">
        <x:v>classic_high_cited</x:v>
      </x:c>
      <x:c r="C89" s="42" t="str">
        <x:v>Transportation Science</x:v>
      </x:c>
      <x:c r="D89" s="42" t="str">
        <x:v>交通运输与物流</x:v>
      </x:c>
      <x:c r="E89" s="42" t="str">
        <x:v>Revenue Management: Research Overview and Prospects</x:v>
      </x:c>
      <x:c r="F89" s="42" t="str">
        <x:v>Jeff McGill; Garrett J. van Ryzin</x:v>
      </x:c>
      <x:c r="G89" s="48" t="n">
        <x:v>1999</x:v>
      </x:c>
      <x:c r="H89" s="42" t="str">
        <x:v>10.1287/trsc.33.2.233</x:v>
      </x:c>
      <x:c r="I89" s="51" t="n">
        <x:v>1133</x:v>
      </x:c>
      <x:c r="J89" s="51" t="n">
        <x:v>46</x:v>
      </x:c>
      <x:c r="K89" s="54" t="n">
        <x:v>14.952</x:v>
      </x:c>
      <x:c r="L89" s="42" t="str">
        <x:v>2026-07-12</x:v>
      </x:c>
      <x:c r="M89" s="42" t="str">
        <x:v>Supply Chain and Inventory Management</x:v>
      </x:c>
      <x:c r="N89" s="42" t="str">
        <x:v>证据综合型</x:v>
      </x:c>
      <x:c r="O89" s="42" t="str">
        <x:v>综述/理论整合/元分析</x:v>
      </x:c>
      <x:c r="P89" s="42" t="str">
        <x:v>research overview</x:v>
      </x:c>
      <x:c r="Q89" s="42" t="str">
        <x:v>文献与已发表效应量</x:v>
      </x:c>
      <x:c r="R89" s="42" t="str">
        <x:v>This survey reviews the forty-year history of research on transportation revenue management (also known as yield management).</x:v>
      </x:c>
      <x:c r="S89" s="42" t="str">
        <x:v>检索协议→纳排标准→编码→质量/偏倚评估→主题或效应综合→异质性→研究议程</x:v>
      </x:c>
      <x:c r="T89" s="42" t="str">
        <x:v>以“Supply Chain and Inventory Management”为对象，采用综述/理论整合/元分析，属于证据综合型研究；具体识别、模型与数据细节以全文复核为准。</x:v>
      </x:c>
      <x:c r="U89" s="42" t="str">
        <x:v>abstract</x:v>
      </x:c>
      <x:c r="V89" s="42" t="str">
        <x:v>待逐篇全文复核</x:v>
      </x:c>
      <x:c r="W89" s="42" t="str">
        <x:v>https://doi.org/10.1287/trsc.33.2.233</x:v>
      </x:c>
      <x:c r="X89" s="42" t="str">
        <x:v>https://openalex.org/W2169927262</x:v>
      </x:c>
      <x:c r="Y89" s="43" t="str">
        <x:v>This survey reviews the forty-year history of research on transportation revenue management (also known as yield management). We cover developments in forecasting, overbooking, seat inventory control, and pricing, as they relate to revenue management, and suggest future research directions. The survey includes a glossary of revenue management terminology and a bibliography of over 190 references.</x:v>
      </x:c>
    </x:row>
    <x:row r="90" ht="42" customHeight="1">
      <x:c r="A90" s="41" t="str">
        <x:v>P086</x:v>
      </x:c>
      <x:c r="B90" s="42" t="str">
        <x:v>recent_hot_2021_2025</x:v>
      </x:c>
      <x:c r="C90" s="42" t="str">
        <x:v>Transportation Science</x:v>
      </x:c>
      <x:c r="D90" s="42" t="str">
        <x:v>交通运输与物流</x:v>
      </x:c>
      <x:c r="E90" s="42" t="str">
        <x:v>Exact Methods for the Traveling Salesman Problem with Drone</x:v>
      </x:c>
      <x:c r="F90" s="42" t="str">
        <x:v>Roberto Roberti; Mario Ruthmair</x:v>
      </x:c>
      <x:c r="G90" s="48" t="n">
        <x:v>2021</x:v>
      </x:c>
      <x:c r="H90" s="42" t="str">
        <x:v>10.1287/trsc.2020.1017</x:v>
      </x:c>
      <x:c r="I90" s="51" t="n">
        <x:v>210</x:v>
      </x:c>
      <x:c r="J90" s="51" t="n">
        <x:v>122</x:v>
      </x:c>
      <x:c r="K90" s="54" t="n">
        <x:v>55.465</x:v>
      </x:c>
      <x:c r="L90" s="42" t="str">
        <x:v>2026-07-12</x:v>
      </x:c>
      <x:c r="M90" s="42" t="str">
        <x:v>Vehicle Routing Optimization Methods</x:v>
      </x:c>
      <x:c r="N90" s="42" t="str">
        <x:v>规范型/处方型</x:v>
      </x:c>
      <x:c r="O90" s="42" t="str">
        <x:v>优化与算法</x:v>
      </x:c>
      <x:c r="P90" s="42" t="str">
        <x:v>mixed-integer; integer programming; linear programming; vehicle routing; traveling salesman; travelling salesman; dynamic programming</x:v>
      </x:c>
      <x:c r="Q90" s="42" t="str">
        <x:v>模型参数/仿真或算例</x:v>
      </x:c>
      <x:c r="R90" s="42" t="str">
        <x:v>We study exact solution approaches for some variants of the traveling salesman problem with drone (TSP-D) in which a truck and a drone are teamed up to serve a set of customers.</x:v>
      </x:c>
      <x:c r="S90" s="42" t="str">
        <x:v>管理决策→系统边界与假设→目标函数/约束→算法或求解器→理论性质→算例/仿真→敏感性→管理洞见</x:v>
      </x:c>
      <x:c r="T90" s="42" t="str">
        <x:v>以“Vehicle Routing Optimization Methods”为对象，采用优化与算法，属于规范型/处方型研究；具体识别、模型与数据细节以全文复核为准。</x:v>
      </x:c>
      <x:c r="U90" s="42" t="str">
        <x:v>abstract</x:v>
      </x:c>
      <x:c r="V90" s="42" t="str">
        <x:v>待逐篇全文复核</x:v>
      </x:c>
      <x:c r="W90" s="42" t="str">
        <x:v>https://doi.org/10.1287/trsc.2020.1017</x:v>
      </x:c>
      <x:c r="X90" s="42" t="str">
        <x:v>https://openalex.org/W3128252576</x:v>
      </x:c>
      <x:c r="Y90" s="43" t="str">
        <x:v>Efficiently handling last-mile deliveries becomes more and more important nowadays. Using drones to support classical vehicles allows improving delivery schedules as long as efficient solution methods to plan last-mile deliveries with drones are available. We study exact solution approaches for some variants of the traveling salesman problem with drone (TSP-D) in which a truck and a drone are teamed up to serve a…</x:v>
      </x:c>
    </x:row>
    <x:row r="91" ht="42" customHeight="1">
      <x:c r="A91" s="41" t="str">
        <x:v>P087</x:v>
      </x:c>
      <x:c r="B91" s="42" t="str">
        <x:v>recent_hot_2021_2025</x:v>
      </x:c>
      <x:c r="C91" s="42" t="str">
        <x:v>Transportation Science</x:v>
      </x:c>
      <x:c r="D91" s="42" t="str">
        <x:v>交通运输与物流</x:v>
      </x:c>
      <x:c r="E91" s="42" t="str">
        <x:v>Microscopic Traffic Modeling Inside Intersections: Interactions Between Drivers</x:v>
      </x:c>
      <x:c r="F91" s="42" t="str">
        <x:v>Jing Zhao; Victor L. Knoop; Meng Wang</x:v>
      </x:c>
      <x:c r="G91" s="48" t="n">
        <x:v>2022</x:v>
      </x:c>
      <x:c r="H91" s="42" t="str">
        <x:v>10.1287/trsc.2022.1163</x:v>
      </x:c>
      <x:c r="I91" s="51" t="n">
        <x:v>116</x:v>
      </x:c>
      <x:c r="J91" s="51" t="n">
        <x:v>79</x:v>
      </x:c>
      <x:c r="K91" s="54" t="n">
        <x:v>39.257</x:v>
      </x:c>
      <x:c r="L91" s="42" t="str">
        <x:v>2026-07-12</x:v>
      </x:c>
      <x:c r="M91" s="42" t="str">
        <x:v>Traffic control and management</x:v>
      </x:c>
      <x:c r="N91" s="42" t="str">
        <x:v>规范型/处方型</x:v>
      </x:c>
      <x:c r="O91" s="42" t="str">
        <x:v>随机过程/动态规划/仿真</x:v>
      </x:c>
      <x:c r="P91" s="42" t="str">
        <x:v>traffic flow</x:v>
      </x:c>
      <x:c r="Q91" s="42" t="str">
        <x:v>模型参数 + 真实案例/二手数据</x:v>
      </x:c>
      <x:c r="R91" s="42" t="str">
        <x:v>Results show that the model can accurately describe vehicle passing orders of interacting maneuvers, paths, and speeds against empirical data.</x:v>
      </x:c>
      <x:c r="S91" s="42" t="str">
        <x:v>管理决策→系统边界与假设→目标函数/约束→算法或求解器→理论性质→算例/仿真→敏感性→管理洞见</x:v>
      </x:c>
      <x:c r="T91" s="42" t="str">
        <x:v>以“Traffic control and management”为对象，采用随机过程/动态规划/仿真，属于规范型/处方型研究；具体识别、模型与数据细节以全文复核为准。</x:v>
      </x:c>
      <x:c r="U91" s="42" t="str">
        <x:v>abstract</x:v>
      </x:c>
      <x:c r="V91" s="42" t="str">
        <x:v>待逐篇全文复核</x:v>
      </x:c>
      <x:c r="W91" s="42" t="str">
        <x:v>https://doi.org/10.1287/trsc.2022.1163</x:v>
      </x:c>
      <x:c r="X91" s="42" t="str">
        <x:v>https://openalex.org/W4288066946</x:v>
      </x:c>
      <x:c r="Y91" s="43" t="str">
        <x:v>Microscopic traffic flow models enable predictions of traffic operations, which allows traffic engineers to assess the efficiency and safety effects of roadway designs. Modeling vehicle trajectories inside intersections is challenging because there is an infinite number of possible paths in a two-dimensional space, and drivers can simultaneously adapt their speeds as well. To date, human driver models for…</x:v>
      </x:c>
    </x:row>
    <x:row r="92" ht="42" customHeight="1">
      <x:c r="A92" s="41" t="str">
        <x:v>P088</x:v>
      </x:c>
      <x:c r="B92" s="42" t="str">
        <x:v>recent_hot_2021_2025</x:v>
      </x:c>
      <x:c r="C92" s="42" t="str">
        <x:v>Transportation Science</x:v>
      </x:c>
      <x:c r="D92" s="42" t="str">
        <x:v>交通运输与物流</x:v>
      </x:c>
      <x:c r="E92" s="42" t="str">
        <x:v>The Electric Vehicle Routing Problem with Capacitated Charging Stations</x:v>
      </x:c>
      <x:c r="F92" s="42" t="str">
        <x:v>Aurélien Froger; Ola Jabali; Jorge E. Mendoza; Gilbert Laporte</x:v>
      </x:c>
      <x:c r="G92" s="48" t="n">
        <x:v>2021</x:v>
      </x:c>
      <x:c r="H92" s="42" t="str">
        <x:v>10.1287/trsc.2021.1111</x:v>
      </x:c>
      <x:c r="I92" s="51" t="n">
        <x:v>114</x:v>
      </x:c>
      <x:c r="J92" s="51" t="n">
        <x:v>82</x:v>
      </x:c>
      <x:c r="K92" s="54" t="n">
        <x:v>36.735</x:v>
      </x:c>
      <x:c r="L92" s="42" t="str">
        <x:v>2026-07-12</x:v>
      </x:c>
      <x:c r="M92" s="42" t="str">
        <x:v>Vehicle Routing Optimization Methods</x:v>
      </x:c>
      <x:c r="N92" s="42" t="str">
        <x:v>规范型/处方型</x:v>
      </x:c>
      <x:c r="O92" s="42" t="str">
        <x:v>优化与算法</x:v>
      </x:c>
      <x:c r="P92" s="42" t="str">
        <x:v>vehicle routing; routing problem</x:v>
      </x:c>
      <x:c r="Q92" s="42" t="str">
        <x:v>模型参数/仿真或算例</x:v>
      </x:c>
      <x:c r="R92" s="42" t="str">
        <x:v>Electric vehicle routing problems (E-VRPs) deal with routing a fleet of electric vehicles (EVs) to serve a set of customers while minimizing an operational criterion, for example, cost or time.</x:v>
      </x:c>
      <x:c r="S92" s="42" t="str">
        <x:v>管理决策→系统边界与假设→目标函数/约束→算法或求解器→理论性质→算例/仿真→敏感性→管理洞见</x:v>
      </x:c>
      <x:c r="T92" s="42" t="str">
        <x:v>以“Vehicle Routing Optimization Methods”为对象，采用优化与算法，属于规范型/处方型研究；具体识别、模型与数据细节以全文复核为准。</x:v>
      </x:c>
      <x:c r="U92" s="42" t="str">
        <x:v>abstract</x:v>
      </x:c>
      <x:c r="V92" s="42" t="str">
        <x:v>待逐篇全文复核</x:v>
      </x:c>
      <x:c r="W92" s="42" t="str">
        <x:v>https://doi.org/10.1287/trsc.2021.1111</x:v>
      </x:c>
      <x:c r="X92" s="42" t="str">
        <x:v>https://openalex.org/W2989947400</x:v>
      </x:c>
      <x:c r="Y92" s="43" t="str">
        <x:v>Electric vehicle routing problems (E-VRPs) deal with routing a fleet of electric vehicles (EVs) to serve a set of customers while minimizing an operational criterion, for example, cost or time. The feasibility of the routes is constrained by the autonomy of the EVs, which may be recharged along the route. Much of the E-VRP research neglects the capacity of charging stations (CSs) and thus implicitly assumes that an…</x:v>
      </x:c>
    </x:row>
    <x:row r="93" ht="42" customHeight="1">
      <x:c r="A93" s="41" t="str">
        <x:v>P089</x:v>
      </x:c>
      <x:c r="B93" s="42" t="str">
        <x:v>recent_hot_2021_2025</x:v>
      </x:c>
      <x:c r="C93" s="42" t="str">
        <x:v>Transportation Science</x:v>
      </x:c>
      <x:c r="D93" s="42" t="str">
        <x:v>交通运输与物流</x:v>
      </x:c>
      <x:c r="E93" s="42" t="str">
        <x:v>An Exact Algorithm for Heterogeneous Drone-Truck Routing Problem</x:v>
      </x:c>
      <x:c r="F93" s="42" t="str">
        <x:v>Munjeong Kang; Chungmok Lee</x:v>
      </x:c>
      <x:c r="G93" s="48" t="n">
        <x:v>2021</x:v>
      </x:c>
      <x:c r="H93" s="42" t="str">
        <x:v>10.1287/trsc.2021.1055</x:v>
      </x:c>
      <x:c r="I93" s="51" t="n">
        <x:v>101</x:v>
      </x:c>
      <x:c r="J93" s="51" t="n">
        <x:v>79</x:v>
      </x:c>
      <x:c r="K93" s="54" t="n">
        <x:v>35.185</x:v>
      </x:c>
      <x:c r="L93" s="42" t="str">
        <x:v>2026-07-12</x:v>
      </x:c>
      <x:c r="M93" s="42" t="str">
        <x:v>Vehicle Routing Optimization Methods</x:v>
      </x:c>
      <x:c r="N93" s="42" t="str">
        <x:v>规范型/处方型</x:v>
      </x:c>
      <x:c r="O93" s="42" t="str">
        <x:v>优化与算法</x:v>
      </x:c>
      <x:c r="P93" s="42" t="str">
        <x:v>mixed-integer; integer programming; benders decomposition; vehicle routing; routing problem</x:v>
      </x:c>
      <x:c r="Q93" s="42" t="str">
        <x:v>模型参数/仿真或算例</x:v>
      </x:c>
      <x:c r="R93" s="42" t="str">
        <x:v>The truck and drone collaborate the delivery to serve all customers, while the drones are carried by and dispatched from the truck.</x:v>
      </x:c>
      <x:c r="S93" s="42" t="str">
        <x:v>管理决策→系统边界与假设→目标函数/约束→算法或求解器→理论性质→算例/仿真→敏感性→管理洞见</x:v>
      </x:c>
      <x:c r="T93" s="42" t="str">
        <x:v>以“Vehicle Routing Optimization Methods”为对象，采用优化与算法，属于规范型/处方型研究；具体识别、模型与数据细节以全文复核为准。</x:v>
      </x:c>
      <x:c r="U93" s="42" t="str">
        <x:v>abstract</x:v>
      </x:c>
      <x:c r="V93" s="42" t="str">
        <x:v>待逐篇全文复核</x:v>
      </x:c>
      <x:c r="W93" s="42" t="str">
        <x:v>https://doi.org/10.1287/trsc.2021.1055</x:v>
      </x:c>
      <x:c r="X93" s="42" t="str">
        <x:v>https://openalex.org/W3193644409</x:v>
      </x:c>
      <x:c r="Y93" s="43" t="str">
        <x:v>Recently, there are attempts to utilize drones in the logistic application. We consider the case in which there are multiple drones with different characteristics, such as speed and battery capacity. The truck and drone collaborate the delivery to serve all customers, while the drones are carried by and dispatched from the truck. The multiple drones can be deployed simultaneously; however, the truck must wait until…</x:v>
      </x:c>
    </x:row>
    <x:row r="94" ht="42" customHeight="1">
      <x:c r="A94" s="41" t="str">
        <x:v>P090</x:v>
      </x:c>
      <x:c r="B94" s="42" t="str">
        <x:v>recent_hot_2021_2025</x:v>
      </x:c>
      <x:c r="C94" s="42" t="str">
        <x:v>Transportation Science</x:v>
      </x:c>
      <x:c r="D94" s="42" t="str">
        <x:v>交通运输与物流</x:v>
      </x:c>
      <x:c r="E94" s="42" t="str">
        <x:v>Combinatorial Optimization-Enriched Machine Learning to Solve the Dynamic Vehicle Routing Problem with Time Windows</x:v>
      </x:c>
      <x:c r="F94" s="42" t="str">
        <x:v>Léo Baty; Kai Jungel; Patrick S. Klein; Axel Parmentier; Maximilian Schiffer</x:v>
      </x:c>
      <x:c r="G94" s="48" t="n">
        <x:v>2024</x:v>
      </x:c>
      <x:c r="H94" s="42" t="str">
        <x:v>10.1287/trsc.2023.0107</x:v>
      </x:c>
      <x:c r="I94" s="51" t="n">
        <x:v>57</x:v>
      </x:c>
      <x:c r="J94" s="51" t="n">
        <x:v>55</x:v>
      </x:c>
      <x:c r="K94" s="54" t="n">
        <x:v>35.182</x:v>
      </x:c>
      <x:c r="L94" s="42" t="str">
        <x:v>2026-07-12</x:v>
      </x:c>
      <x:c r="M94" s="42" t="str">
        <x:v>Vehicle Routing Optimization Methods</x:v>
      </x:c>
      <x:c r="N94" s="42" t="str">
        <x:v>预测型/计算型</x:v>
      </x:c>
      <x:c r="O94" s="42" t="str">
        <x:v>机器学习/文本与预测分析</x:v>
      </x:c>
      <x:c r="P94" s="42" t="str">
        <x:v>machine learning; reinforcement learning; vehicle routing; robustness; routing problem; dynamic programming</x:v>
      </x:c>
      <x:c r="Q94" s="42" t="str">
        <x:v>观察数据/数字痕迹/文本/时序</x:v>
      </x:c>
      <x:c r="R94" s="42" t="str">
        <x:v>摘要未明确；需全文补录具体数据源、样本期与变量定义。</x:v>
      </x:c>
      <x:c r="S94" s="42" t="str">
        <x:v>预测/分类任务→数据与标签→特征/表示→训练与验证→基线比较→误差与解释→决策/部署约束</x:v>
      </x:c>
      <x:c r="T94" s="42" t="str">
        <x:v>以“Vehicle Routing Optimization Methods”为对象，采用机器学习/文本与预测分析，属于预测型/计算型研究；具体识别、模型与数据细节以全文复核为准。</x:v>
      </x:c>
      <x:c r="U94" s="42" t="str">
        <x:v>abstract</x:v>
      </x:c>
      <x:c r="V94" s="42" t="str">
        <x:v>待逐篇全文复核</x:v>
      </x:c>
      <x:c r="W94" s="42" t="str">
        <x:v>https://doi.org/10.1287/trsc.2023.0107</x:v>
      </x:c>
      <x:c r="X94" s="42" t="str">
        <x:v>https://openalex.org/W4391812043</x:v>
      </x:c>
      <x:c r="Y94" s="43" t="str">
        <x:v>With the rise of e-commerce and increasing customer requirements, logistics service providers face a new complexity in their daily planning, mainly due to efficiently handling same-day deliveries. Existing multistage stochastic optimization approaches that allow solving the underlying dynamic vehicle routing problem either are computationally too expensive for an application in online settings or—in the case of…</x:v>
      </x:c>
    </x:row>
    <x:row r="95" ht="42" customHeight="1">
      <x:c r="A95" s="41" t="str">
        <x:v>P091</x:v>
      </x:c>
      <x:c r="B95" s="42" t="str">
        <x:v>classic_high_cited</x:v>
      </x:c>
      <x:c r="C95" s="42" t="str">
        <x:v>Decision Sciences</x:v>
      </x:c>
      <x:c r="D95" s="42" t="str">
        <x:v>决策科学</x:v>
      </x:c>
      <x:c r="E95" s="42" t="str">
        <x:v>Technology Acceptance Model 3 and a Research Agenda on Interventions</x:v>
      </x:c>
      <x:c r="F95" s="42" t="str">
        <x:v>Viswanath Venkatesh; Hillol Bala</x:v>
      </x:c>
      <x:c r="G95" s="48" t="n">
        <x:v>2008</x:v>
      </x:c>
      <x:c r="H95" s="42" t="str">
        <x:v>10.1111/j.1540-5915.2008.00192.x</x:v>
      </x:c>
      <x:c r="I95" s="51" t="n">
        <x:v>7855</x:v>
      </x:c>
      <x:c r="J95" s="51" t="n">
        <x:v>2279</x:v>
      </x:c>
      <x:c r="K95" s="54" t="n">
        <x:v>585.081</x:v>
      </x:c>
      <x:c r="L95" s="42" t="str">
        <x:v>2026-07-12</x:v>
      </x:c>
      <x:c r="M95" s="42" t="str">
        <x:v>Technology Adoption and User Behaviour</x:v>
      </x:c>
      <x:c r="N95" s="42" t="str">
        <x:v>证据综合型</x:v>
      </x:c>
      <x:c r="O95" s="42" t="str">
        <x:v>综述/理论整合/元分析</x:v>
      </x:c>
      <x:c r="P95" s="42" t="str">
        <x:v>research agenda; technology acceptance model; perceived ease of use; perceived usefulness</x:v>
      </x:c>
      <x:c r="Q95" s="42" t="str">
        <x:v>文献与已发表效应量</x:v>
      </x:c>
      <x:c r="R95" s="42" t="str">
        <x:v>摘要未明确；需全文补录具体数据源、样本期与变量定义。</x:v>
      </x:c>
      <x:c r="S95" s="42" t="str">
        <x:v>检索协议→纳排标准→编码→质量/偏倚评估→主题或效应综合→异质性→研究议程</x:v>
      </x:c>
      <x:c r="T95" s="42" t="str">
        <x:v>以“Technology Adoption and User Behaviour”为对象，采用综述/理论整合/元分析，属于证据综合型研究；具体识别、模型与数据细节以全文复核为准。</x:v>
      </x:c>
      <x:c r="U95" s="42" t="str">
        <x:v>abstract</x:v>
      </x:c>
      <x:c r="V95" s="42" t="str">
        <x:v>待逐篇全文复核</x:v>
      </x:c>
      <x:c r="W95" s="42" t="str">
        <x:v>https://doi.org/10.1111/j.1540-5915.2008.00192.x</x:v>
      </x:c>
      <x:c r="X95" s="42" t="str">
        <x:v>https://openalex.org/W2112042732</x:v>
      </x:c>
      <x:c r="Y95" s="43" t="str">
        <x:v>ABSTRACT Prior research has provided valuable insights into how and why employees make a decision about the adoption and use of information technologies (ITs) in the workplace. From an organizational point of view, however, the more important issue is how managers make informed decisions about interventions that can lead to greater acceptance and effective utilization of IT. There is limited research in the IT…</x:v>
      </x:c>
    </x:row>
    <x:row r="96" ht="42" customHeight="1">
      <x:c r="A96" s="41" t="str">
        <x:v>P092</x:v>
      </x:c>
      <x:c r="B96" s="42" t="str">
        <x:v>classic_high_cited</x:v>
      </x:c>
      <x:c r="C96" s="42" t="str">
        <x:v>Decision Sciences</x:v>
      </x:c>
      <x:c r="D96" s="42" t="str">
        <x:v>决策科学</x:v>
      </x:c>
      <x:c r="E96" s="42" t="str">
        <x:v>A Model of the Antecedents of Perceived Ease of Use: Development and Test</x:v>
      </x:c>
      <x:c r="F96" s="42" t="str">
        <x:v>Viswanath Venkatesh; Fred D. Davis</x:v>
      </x:c>
      <x:c r="G96" s="48" t="n">
        <x:v>1996</x:v>
      </x:c>
      <x:c r="H96" s="42" t="str">
        <x:v>10.1111/j.1540-5915.1996.tb00860.x</x:v>
      </x:c>
      <x:c r="I96" s="51" t="n">
        <x:v>2881</x:v>
      </x:c>
      <x:c r="J96" s="51" t="n">
        <x:v>178</x:v>
      </x:c>
      <x:c r="K96" s="54" t="n">
        <x:v>46.09</x:v>
      </x:c>
      <x:c r="L96" s="42" t="str">
        <x:v>2026-07-12</x:v>
      </x:c>
      <x:c r="M96" s="42" t="str">
        <x:v>Technology Adoption and User Behaviour</x:v>
      </x:c>
      <x:c r="N96" s="42" t="str">
        <x:v>实证解释型</x:v>
      </x:c>
      <x:c r="O96" s="42" t="str">
        <x:v>结构方程/问卷实证</x:v>
      </x:c>
      <x:c r="P96" s="42" t="str">
        <x:v>structural equation; technology acceptance model; perceived ease of use; machine learning</x:v>
      </x:c>
      <x:c r="Q96" s="42" t="str">
        <x:v>问卷/量表数据</x:v>
      </x:c>
      <x:c r="R96" s="42" t="str">
        <x:v>Data from three experiments spanning 108 subjects and six different systems supported our hypothesis that an individual's perception of a particular system's ease of use is anchored to her or his general computer self-efficacy at all times, and objective usability has an impact on ease of use perceptions about a…</x:v>
      </x:c>
      <x:c r="S96" s="42" t="str">
        <x:v>理论框架→假设→构念/变量→样本与测量→统计模型→信效度/拟合→稳健性→理论与管理含义</x:v>
      </x:c>
      <x:c r="T96" s="42" t="str">
        <x:v>以“Technology Adoption and User Behaviour”为对象，采用结构方程/问卷实证，属于实证解释型研究；具体识别、模型与数据细节以全文复核为准。</x:v>
      </x:c>
      <x:c r="U96" s="42" t="str">
        <x:v>abstract</x:v>
      </x:c>
      <x:c r="V96" s="42" t="str">
        <x:v>待逐篇全文复核</x:v>
      </x:c>
      <x:c r="W96" s="42" t="str">
        <x:v>https://doi.org/10.1111/j.1540-5915.1996.tb00860.x</x:v>
      </x:c>
      <x:c r="X96" s="42" t="str">
        <x:v>https://openalex.org/W2075647120</x:v>
      </x:c>
      <x:c r="Y96" s="43" t="str">
        <x:v>The Technology Acceptance Model (TAM) has been widely used to predict user acceptance and use based on perceived ease of use and usefulness. However, in order to design effective training interventions to improve user acceptance, it is necessary to better understand the antecedents and determinants of key acceptance constructs. In this research, we focus on understanding the determinants of perceived ease of use.…</x:v>
      </x:c>
    </x:row>
    <x:row r="97" ht="42" customHeight="1">
      <x:c r="A97" s="41" t="str">
        <x:v>P093</x:v>
      </x:c>
      <x:c r="B97" s="42" t="str">
        <x:v>classic_high_cited</x:v>
      </x:c>
      <x:c r="C97" s="42" t="str">
        <x:v>Decision Sciences</x:v>
      </x:c>
      <x:c r="D97" s="42" t="str">
        <x:v>决策科学</x:v>
      </x:c>
      <x:c r="E97" s="42" t="str">
        <x:v>Are Individual Differences Germane to the Acceptance of New Information Technologies?</x:v>
      </x:c>
      <x:c r="F97" s="42" t="str">
        <x:v>Ritu Agarwal; Jayesh Prasad</x:v>
      </x:c>
      <x:c r="G97" s="48" t="n">
        <x:v>1999</x:v>
      </x:c>
      <x:c r="H97" s="42" t="str">
        <x:v>10.1111/j.1540-5915.1999.tb01614.x</x:v>
      </x:c>
      <x:c r="I97" s="51" t="n">
        <x:v>2096</x:v>
      </x:c>
      <x:c r="J97" s="51" t="n">
        <x:v>136</x:v>
      </x:c>
      <x:c r="K97" s="54" t="n">
        <x:v>37.119</x:v>
      </x:c>
      <x:c r="L97" s="42" t="str">
        <x:v>2026-07-12</x:v>
      </x:c>
      <x:c r="M97" s="42" t="str">
        <x:v>Technology Adoption and User Behaviour</x:v>
      </x:c>
      <x:c r="N97" s="42" t="str">
        <x:v>实证解释型</x:v>
      </x:c>
      <x:c r="O97" s="42" t="str">
        <x:v>结构方程/问卷实证</x:v>
      </x:c>
      <x:c r="P97" s="42" t="str">
        <x:v>technology acceptance model</x:v>
      </x:c>
      <x:c r="Q97" s="42" t="str">
        <x:v>问卷/量表数据</x:v>
      </x:c>
      <x:c r="R97" s="42" t="str">
        <x:v>ABSTRACT Persuading users to adopt new information technologies persists as an important problem confronting those responsible for implementing new information systems.</x:v>
      </x:c>
      <x:c r="S97" s="42" t="str">
        <x:v>理论框架→假设→构念/变量→样本与测量→统计模型→信效度/拟合→稳健性→理论与管理含义</x:v>
      </x:c>
      <x:c r="T97" s="42" t="str">
        <x:v>以“Technology Adoption and User Behaviour”为对象，采用结构方程/问卷实证，属于实证解释型研究；具体识别、模型与数据细节以全文复核为准。</x:v>
      </x:c>
      <x:c r="U97" s="42" t="str">
        <x:v>abstract</x:v>
      </x:c>
      <x:c r="V97" s="42" t="str">
        <x:v>待逐篇全文复核</x:v>
      </x:c>
      <x:c r="W97" s="42" t="str">
        <x:v>https://doi.org/10.1111/j.1540-5915.1999.tb01614.x</x:v>
      </x:c>
      <x:c r="X97" s="42" t="str">
        <x:v>https://openalex.org/W1974108202</x:v>
      </x:c>
      <x:c r="Y97" s="43" t="str">
        <x:v>ABSTRACT Persuading users to adopt new information technologies persists as an important problem confronting those responsible for implementing new information systems. In order to better understand and manage the process of new technology adoption, several theoretical models have been proposed, of which the technology acceptance model (TAM) has gained considerable support. Beliefs and attitudes represent…</x:v>
      </x:c>
    </x:row>
    <x:row r="98" ht="42" customHeight="1">
      <x:c r="A98" s="41" t="str">
        <x:v>P094</x:v>
      </x:c>
      <x:c r="B98" s="42" t="str">
        <x:v>classic_high_cited</x:v>
      </x:c>
      <x:c r="C98" s="42" t="str">
        <x:v>Decision Sciences</x:v>
      </x:c>
      <x:c r="D98" s="42" t="str">
        <x:v>决策科学</x:v>
      </x:c>
      <x:c r="E98" s="42" t="str">
        <x:v>An Instrument for Measuring the Critical Factors of Quality Management</x:v>
      </x:c>
      <x:c r="F98" s="42" t="str">
        <x:v>Jayant V. Saraph; Philip G. Benson; Roger G. Schroeder</x:v>
      </x:c>
      <x:c r="G98" s="48" t="n">
        <x:v>1989</x:v>
      </x:c>
      <x:c r="H98" s="42" t="str">
        <x:v>10.1111/j.1540-5915.1989.tb01421.x</x:v>
      </x:c>
      <x:c r="I98" s="51" t="n">
        <x:v>2042</x:v>
      </x:c>
      <x:c r="J98" s="51" t="n">
        <x:v>50</x:v>
      </x:c>
      <x:c r="K98" s="54" t="n">
        <x:v>16.334</x:v>
      </x:c>
      <x:c r="L98" s="42" t="str">
        <x:v>2026-07-12</x:v>
      </x:c>
      <x:c r="M98" s="42" t="str">
        <x:v>Quality and Supply Management</x:v>
      </x:c>
      <x:c r="N98" s="42" t="str">
        <x:v>探索/理论生成型</x:v>
      </x:c>
      <x:c r="O98" s="42" t="str">
        <x:v>定性/案例研究</x:v>
      </x:c>
      <x:c r="P98" s="42" t="str">
        <x:v>case studies</x:v>
      </x:c>
      <x:c r="Q98" s="42" t="str">
        <x:v>访谈、档案或案例材料</x:v>
      </x:c>
      <x:c r="R98" s="42" t="str">
        <x:v>While many organizations collect quality data such as defect rates, error rates, rework cost, and scrap cost, these are not measures of organization‐wide quality management.</x:v>
      </x:c>
      <x:c r="S98" s="42" t="str">
        <x:v>现象与案例选择→资料采集→开放编码→范畴/机制→跨案例比较→理论命题→边界条件</x:v>
      </x:c>
      <x:c r="T98" s="42" t="str">
        <x:v>以“Quality and Supply Management”为对象，采用定性/案例研究，属于探索/理论生成型研究；具体识别、模型与数据细节以全文复核为准。</x:v>
      </x:c>
      <x:c r="U98" s="42" t="str">
        <x:v>abstract</x:v>
      </x:c>
      <x:c r="V98" s="42" t="str">
        <x:v>待逐篇全文复核</x:v>
      </x:c>
      <x:c r="W98" s="42" t="str">
        <x:v>https://doi.org/10.1111/j.1540-5915.1989.tb01421.x</x:v>
      </x:c>
      <x:c r="X98" s="42" t="str">
        <x:v>https://openalex.org/W1975965087</x:v>
      </x:c>
      <x:c r="Y98" s="43" t="str">
        <x:v>ABSTRACT Much has been written about how quality should be managed in an organization. The quality literature contains many case studies of successful companies and descriptions of quality concepts and quality improvement programs. To date, however, there has been no systematic attempt to organize and synthesize the various prescriptions offered, nor have measures of organizational quality management been proposed…</x:v>
      </x:c>
    </x:row>
    <x:row r="99" ht="42" customHeight="1">
      <x:c r="A99" s="41" t="str">
        <x:v>P095</x:v>
      </x:c>
      <x:c r="B99" s="42" t="str">
        <x:v>classic_high_cited</x:v>
      </x:c>
      <x:c r="C99" s="42" t="str">
        <x:v>Decision Sciences</x:v>
      </x:c>
      <x:c r="D99" s="42" t="str">
        <x:v>决策科学</x:v>
      </x:c>
      <x:c r="E99" s="42" t="str">
        <x:v>Development and Validation of TQM Implementation Constructs</x:v>
      </x:c>
      <x:c r="F99" s="42" t="str">
        <x:v>Sanjay L. Ahire; Damodar Y. Golhar; Matthew A. Waller</x:v>
      </x:c>
      <x:c r="G99" s="48" t="n">
        <x:v>1996</x:v>
      </x:c>
      <x:c r="H99" s="42" t="str">
        <x:v>10.1111/j.1540-5915.1996.tb00842.x</x:v>
      </x:c>
      <x:c r="I99" s="51" t="n">
        <x:v>1780</x:v>
      </x:c>
      <x:c r="J99" s="51" t="n">
        <x:v>57</x:v>
      </x:c>
      <x:c r="K99" s="54" t="n">
        <x:v>19.03</x:v>
      </x:c>
      <x:c r="L99" s="42" t="str">
        <x:v>2026-07-12</x:v>
      </x:c>
      <x:c r="M99" s="42" t="str">
        <x:v>Quality and Supply Management</x:v>
      </x:c>
      <x:c r="N99" s="42" t="str">
        <x:v>实证解释型</x:v>
      </x:c>
      <x:c r="O99" s="42" t="str">
        <x:v>结构方程/问卷实证</x:v>
      </x:c>
      <x:c r="P99" s="42" t="str">
        <x:v>survey of</x:v>
      </x:c>
      <x:c r="Q99" s="42" t="str">
        <x:v>问卷/量表数据</x:v>
      </x:c>
      <x:c r="R99" s="42" t="str">
        <x:v>Using a survey of 371 manufacturing firms, the constructs are then empirically tested and validated.</x:v>
      </x:c>
      <x:c r="S99" s="42" t="str">
        <x:v>理论框架→假设→构念/变量→样本与测量→统计模型→信效度/拟合→稳健性→理论与管理含义</x:v>
      </x:c>
      <x:c r="T99" s="42" t="str">
        <x:v>以“Quality and Supply Management”为对象，采用结构方程/问卷实证，属于实证解释型研究；具体识别、模型与数据细节以全文复核为准。</x:v>
      </x:c>
      <x:c r="U99" s="42" t="str">
        <x:v>abstract</x:v>
      </x:c>
      <x:c r="V99" s="42" t="str">
        <x:v>待逐篇全文复核</x:v>
      </x:c>
      <x:c r="W99" s="42" t="str">
        <x:v>https://doi.org/10.1111/j.1540-5915.1996.tb00842.x</x:v>
      </x:c>
      <x:c r="X99" s="42" t="str">
        <x:v>https://openalex.org/W2143773263</x:v>
      </x:c>
      <x:c r="Y99" s="43" t="str">
        <x:v>The contemporary quality management (QM) literature prescribes various quality improvement strategies. However, it lacks scientifically developed and tested constructs that represent an integrative QM philosophy. Moreover, an impact of the prescribed QM strategies on a firm's product quality has not been analyzed. Through a detailed analysis of the literature, this research identifies 12 constructs of integrated QM…</x:v>
      </x:c>
    </x:row>
    <x:row r="100" ht="42" customHeight="1">
      <x:c r="A100" s="41" t="str">
        <x:v>P096</x:v>
      </x:c>
      <x:c r="B100" s="42" t="str">
        <x:v>recent_hot_2021_2025</x:v>
      </x:c>
      <x:c r="C100" s="42" t="str">
        <x:v>Decision Sciences</x:v>
      </x:c>
      <x:c r="D100" s="42" t="str">
        <x:v>决策科学</x:v>
      </x:c>
      <x:c r="E100" s="42" t="str">
        <x:v>Achieving supply chain efficiency and resilience by using multi‐level commons</x:v>
      </x:c>
      <x:c r="F100" s="42" t="str">
        <x:v>Sunil Chopra; ManMohan S. Sodhi; Florian Lücker</x:v>
      </x:c>
      <x:c r="G100" s="48" t="n">
        <x:v>2021</x:v>
      </x:c>
      <x:c r="H100" s="42" t="str">
        <x:v>10.1111/deci.12526</x:v>
      </x:c>
      <x:c r="I100" s="51" t="n">
        <x:v>130</x:v>
      </x:c>
      <x:c r="J100" s="51" t="n">
        <x:v>69</x:v>
      </x:c>
      <x:c r="K100" s="54" t="n">
        <x:v>31.827</x:v>
      </x:c>
      <x:c r="L100" s="42" t="str">
        <x:v>2026-07-12</x:v>
      </x:c>
      <x:c r="M100" s="42" t="str">
        <x:v>Supply Chain Resilience and Risk Management</x:v>
      </x:c>
      <x:c r="N100" s="42" t="str">
        <x:v>理论构建型</x:v>
      </x:c>
      <x:c r="O100" s="42" t="str">
        <x:v>概念/理论构建</x:v>
      </x:c>
      <x:c r="P100" s="42" t="str">
        <x:v>title_override:achieving supply chain efficiency and resilience</x:v>
      </x:c>
      <x:c r="Q100" s="42" t="str">
        <x:v>摘要未明确</x:v>
      </x:c>
      <x:c r="R100" s="42" t="str">
        <x:v>Abstract We offer the notion of “commons” at different levels—within company, private across company, and government‐sponsored across‐industry sectors—and discuss how the creation of such commons enabled firms to be both efficient during normal times and resilient against the disruptions resulting from COVID‐19.</x:v>
      </x:c>
      <x:c r="S100" s="42" t="str">
        <x:v>现象/悖论→概念界定→理论锚点→机制与命题→边界条件→可检验含义→后续验证议程</x:v>
      </x:c>
      <x:c r="T100" s="42" t="str">
        <x:v>以“Supply Chain Resilience and Risk Management”为对象，采用概念/理论构建，属于理论构建型研究；具体识别、模型与数据细节以全文复核为准。</x:v>
      </x:c>
      <x:c r="U100" s="42" t="str">
        <x:v>abstract</x:v>
      </x:c>
      <x:c r="V100" s="42" t="str">
        <x:v>待逐篇全文复核</x:v>
      </x:c>
      <x:c r="W100" s="42" t="str">
        <x:v>https://doi.org/10.1111/deci.12526</x:v>
      </x:c>
      <x:c r="X100" s="42" t="str">
        <x:v>https://openalex.org/W3156205742</x:v>
      </x:c>
      <x:c r="Y100" s="43" t="str">
        <x:v>Abstract We offer the notion of “commons” at different levels—within company, private across company, and government‐sponsored across‐industry sectors—and discuss how the creation of such commons enabled firms to be both efficient during normal times and resilient against the disruptions resulting from COVID‐19. At the same time, there are many proven strategies providing resilience in supply chains. For instance,…</x:v>
      </x:c>
    </x:row>
    <x:row r="101" ht="42" customHeight="1">
      <x:c r="A101" s="41" t="str">
        <x:v>P097</x:v>
      </x:c>
      <x:c r="B101" s="42" t="str">
        <x:v>recent_hot_2021_2025</x:v>
      </x:c>
      <x:c r="C101" s="42" t="str">
        <x:v>Decision Sciences</x:v>
      </x:c>
      <x:c r="D101" s="42" t="str">
        <x:v>决策科学</x:v>
      </x:c>
      <x:c r="E101" s="42" t="str">
        <x:v>The role of generative design and additive manufacturing capabilities in developing human–AI symbiosis: Evidence from multiple case studies</x:v>
      </x:c>
      <x:c r="F101" s="42" t="str">
        <x:v>Elliot Bendoly; Aravind Chandrasekaran; Mateus do Rego Ferreira Lima; Robert Handfield; Siavash H. Khajavi; Samuel Roscoe</x:v>
      </x:c>
      <x:c r="G101" s="48" t="n">
        <x:v>2023</x:v>
      </x:c>
      <x:c r="H101" s="42" t="str">
        <x:v>10.1111/deci.12619</x:v>
      </x:c>
      <x:c r="I101" s="51" t="n">
        <x:v>50</x:v>
      </x:c>
      <x:c r="J101" s="51" t="n">
        <x:v>50</x:v>
      </x:c>
      <x:c r="K101" s="54" t="n">
        <x:v>27.375</x:v>
      </x:c>
      <x:c r="L101" s="42" t="str">
        <x:v>2026-07-12</x:v>
      </x:c>
      <x:c r="M101" s="42" t="str">
        <x:v>Design Education and Practice</x:v>
      </x:c>
      <x:c r="N101" s="42" t="str">
        <x:v>因果解释型</x:v>
      </x:c>
      <x:c r="O101" s="42" t="str">
        <x:v>因果推断/计量经济学</x:v>
      </x:c>
      <x:c r="P101" s="42" t="str">
        <x:v>natural experiment; case study; case studies; qualitative study; grounded theory</x:v>
      </x:c>
      <x:c r="Q101" s="42" t="str">
        <x:v>观察性微观/面板/交易数据</x:v>
      </x:c>
      <x:c r="R101" s="42" t="str">
        <x:v>We begin this qualitative study with a natural experiment made possible by an exogenous shock: the COVID‐19 pandemic.</x:v>
      </x:c>
      <x:c r="S101" s="42" t="str">
        <x:v>理论机制→可检验假设→识别设计→样本与变量→估计→平行趋势/有效性→稳健性→机制与异质性</x:v>
      </x:c>
      <x:c r="T101" s="42" t="str">
        <x:v>以“Design Education and Practice”为对象，采用因果推断/计量经济学，属于因果解释型研究；具体识别、模型与数据细节以全文复核为准。</x:v>
      </x:c>
      <x:c r="U101" s="42" t="str">
        <x:v>abstract</x:v>
      </x:c>
      <x:c r="V101" s="42" t="str">
        <x:v>待逐篇全文复核</x:v>
      </x:c>
      <x:c r="W101" s="42" t="str">
        <x:v>https://doi.org/10.1111/deci.12619</x:v>
      </x:c>
      <x:c r="X101" s="42" t="str">
        <x:v>https://openalex.org/W4388179111</x:v>
      </x:c>
      <x:c r="Y101" s="43" t="str">
        <x:v>Abstract The benefits of additive manufacturing (AM) extend beyond the attributes of physical products and production processes they enable. Experience with AM can augment the way design is approached and can increase opportunities to pivot toward less familiar design tasks. We begin this qualitative study with a natural experiment made possible by an exogenous shock: the COVID‐19 pandemic. Through a three‐stage…</x:v>
      </x:c>
    </x:row>
    <x:row r="102" ht="42" customHeight="1">
      <x:c r="A102" s="41" t="str">
        <x:v>P098</x:v>
      </x:c>
      <x:c r="B102" s="42" t="str">
        <x:v>recent_hot_2021_2025</x:v>
      </x:c>
      <x:c r="C102" s="42" t="str">
        <x:v>Decision Sciences</x:v>
      </x:c>
      <x:c r="D102" s="42" t="str">
        <x:v>决策科学</x:v>
      </x:c>
      <x:c r="E102" s="42" t="str">
        <x:v>Leveraging gamification technology to motivate environmentally responsible behavior: An empirical examination of Ant Forest</x:v>
      </x:c>
      <x:c r="F102" s="42" t="str">
        <x:v>Qingyu Zhang; Muhammad Anwar</x:v>
      </x:c>
      <x:c r="G102" s="48" t="n">
        <x:v>2023</x:v>
      </x:c>
      <x:c r="H102" s="42" t="str">
        <x:v>10.1111/deci.12618</x:v>
      </x:c>
      <x:c r="I102" s="51" t="n">
        <x:v>38</x:v>
      </x:c>
      <x:c r="J102" s="51" t="n">
        <x:v>38</x:v>
      </x:c>
      <x:c r="K102" s="54" t="n">
        <x:v>20.925</x:v>
      </x:c>
      <x:c r="L102" s="42" t="str">
        <x:v>2026-07-12</x:v>
      </x:c>
      <x:c r="M102" s="42" t="str">
        <x:v>Environmental Education and Sustainability</x:v>
      </x:c>
      <x:c r="N102" s="42" t="str">
        <x:v>实证解释型</x:v>
      </x:c>
      <x:c r="O102" s="42" t="str">
        <x:v>回归/统计实证</x:v>
      </x:c>
      <x:c r="P102" s="42" t="str">
        <x:v>empirical examination</x:v>
      </x:c>
      <x:c r="Q102" s="42" t="str">
        <x:v>观察性微观/面板/交易数据</x:v>
      </x:c>
      <x:c r="R102" s="42" t="str">
        <x:v>Ant Forest—a gamified initiative launched by a prominent Chinese fintech company—empowers users to manage their ecological footprint and promote ethical behavior.</x:v>
      </x:c>
      <x:c r="S102" s="42" t="str">
        <x:v>理论框架→假设→构念/变量→样本与测量→统计模型→信效度/拟合→稳健性→理论与管理含义</x:v>
      </x:c>
      <x:c r="T102" s="42" t="str">
        <x:v>以“Environmental Education and Sustainability”为对象，采用回归/统计实证，属于实证解释型研究；具体识别、模型与数据细节以全文复核为准。</x:v>
      </x:c>
      <x:c r="U102" s="42" t="str">
        <x:v>abstract</x:v>
      </x:c>
      <x:c r="V102" s="42" t="str">
        <x:v>待逐篇全文复核</x:v>
      </x:c>
      <x:c r="W102" s="42" t="str">
        <x:v>https://doi.org/10.1111/deci.12618</x:v>
      </x:c>
      <x:c r="X102" s="42" t="str">
        <x:v>https://openalex.org/W4387878128</x:v>
      </x:c>
      <x:c r="Y102" s="43" t="str">
        <x:v>Abstract Realizing the role of their consumers in mitigating environmental problems, companies have started leveraging gamification technology with persuasive interventions to induce consumers’ behavioral changes. Ant Forest—a gamified initiative launched by a prominent Chinese fintech company—empowers users to manage their ecological footprint and promote ethical behavior. However, the research community has…</x:v>
      </x:c>
    </x:row>
    <x:row r="103" ht="42" customHeight="1">
      <x:c r="A103" s="41" t="str">
        <x:v>P099</x:v>
      </x:c>
      <x:c r="B103" s="42" t="str">
        <x:v>recent_hot_2021_2025</x:v>
      </x:c>
      <x:c r="C103" s="42" t="str">
        <x:v>Decision Sciences</x:v>
      </x:c>
      <x:c r="D103" s="42" t="str">
        <x:v>决策科学</x:v>
      </x:c>
      <x:c r="E103" s="42" t="str">
        <x:v>Diversity, Equity, and Inclusion: decision science research opportunities</x:v>
      </x:c>
      <x:c r="F103" s="42" t="str">
        <x:v>Christopher S. Tang</x:v>
      </x:c>
      <x:c r="G103" s="48" t="n">
        <x:v>2023</x:v>
      </x:c>
      <x:c r="H103" s="42" t="str">
        <x:v>10.1111/deci.12614</x:v>
      </x:c>
      <x:c r="I103" s="51" t="n">
        <x:v>32</x:v>
      </x:c>
      <x:c r="J103" s="51" t="n">
        <x:v>31</x:v>
      </x:c>
      <x:c r="K103" s="54" t="n">
        <x:v>17.2</x:v>
      </x:c>
      <x:c r="L103" s="42" t="str">
        <x:v>2026-07-12</x:v>
      </x:c>
      <x:c r="M103" s="42" t="str">
        <x:v>Environmental Sustainability in Business</x:v>
      </x:c>
      <x:c r="N103" s="42" t="str">
        <x:v>证据综合型</x:v>
      </x:c>
      <x:c r="O103" s="42" t="str">
        <x:v>综述/理论整合/元分析</x:v>
      </x:c>
      <x:c r="P103" s="42" t="str">
        <x:v>research opportunities</x:v>
      </x:c>
      <x:c r="Q103" s="42" t="str">
        <x:v>文献与已发表效应量</x:v>
      </x:c>
      <x:c r="R103" s="42" t="str">
        <x:v>摘要未明确；需全文补录具体数据源、样本期与变量定义。</x:v>
      </x:c>
      <x:c r="S103" s="42" t="str">
        <x:v>检索协议→纳排标准→编码→质量/偏倚评估→主题或效应综合→异质性→研究议程</x:v>
      </x:c>
      <x:c r="T103" s="42" t="str">
        <x:v>以“Environmental Sustainability in Business”为对象，采用综述/理论整合/元分析，属于证据综合型研究；具体识别、模型与数据细节以全文复核为准。</x:v>
      </x:c>
      <x:c r="U103" s="42" t="str">
        <x:v>abstract</x:v>
      </x:c>
      <x:c r="V103" s="42" t="str">
        <x:v>待逐篇全文复核</x:v>
      </x:c>
      <x:c r="W103" s="42" t="str">
        <x:v>https://doi.org/10.1111/deci.12614</x:v>
      </x:c>
      <x:c r="X103" s="42" t="str">
        <x:v>https://openalex.org/W4386022907</x:v>
      </x:c>
      <x:c r="Y103" s="43" t="str">
        <x:v>ABSTRACT As of July 2022, all Fortune 100 companies have made public announcements about their commitments to Diversity, Equity, and Inclusion (DEI). At the same time, more universities are offering DEI certificates or degree programs. Despite this recent social movement, DEI research in decision science remains nascent. DEI can be a politically sensitive topic, but its economic and social impact on organizations…</x:v>
      </x:c>
    </x:row>
    <x:row r="104" ht="42" customHeight="1">
      <x:c r="A104" s="44" t="str">
        <x:v>P100</x:v>
      </x:c>
      <x:c r="B104" s="45" t="str">
        <x:v>recent_hot_2021_2025</x:v>
      </x:c>
      <x:c r="C104" s="45" t="str">
        <x:v>Decision Sciences</x:v>
      </x:c>
      <x:c r="D104" s="45" t="str">
        <x:v>决策科学</x:v>
      </x:c>
      <x:c r="E104" s="45" t="str">
        <x:v>Consumer showrooming with supplier encroachment and omnichannel retailing</x:v>
      </x:c>
      <x:c r="F104" s="45" t="str">
        <x:v>Shichen Zhang; Yao Yao; Jianxiong Zhang</x:v>
      </x:c>
      <x:c r="G104" s="49" t="n">
        <x:v>2021</x:v>
      </x:c>
      <x:c r="H104" s="45" t="str">
        <x:v>10.1111/deci.12539</x:v>
      </x:c>
      <x:c r="I104" s="52" t="n">
        <x:v>53</x:v>
      </x:c>
      <x:c r="J104" s="52" t="n">
        <x:v>36</x:v>
      </x:c>
      <x:c r="K104" s="55" t="n">
        <x:v>16.43</x:v>
      </x:c>
      <x:c r="L104" s="45" t="str">
        <x:v>2026-07-12</x:v>
      </x:c>
      <x:c r="M104" s="45" t="str">
        <x:v>Consumer Retail Behavior Studies</x:v>
      </x:c>
      <x:c r="N104" s="45" t="str">
        <x:v>解析型/机制解释</x:v>
      </x:c>
      <x:c r="O104" s="45" t="str">
        <x:v>博弈论/机制与契约</x:v>
      </x:c>
      <x:c r="P104" s="45" t="str">
        <x:v>supplier encroachment</x:v>
      </x:c>
      <x:c r="Q104" s="45" t="str">
        <x:v>模型参数/仿真或算例</x:v>
      </x:c>
      <x:c r="R104" s="45" t="str">
        <x:v>摘要未明确；需全文补录具体数据源、样本期与变量定义。</x:v>
      </x:c>
      <x:c r="S104" s="45" t="str">
        <x:v>现实现象→参与者与机制→效用/利润/约束→均衡或结构参数→比较静态→经验/数值校准→机制含义</x:v>
      </x:c>
      <x:c r="T104" s="45" t="str">
        <x:v>以“Consumer Retail Behavior Studies”为对象，采用博弈论/机制与契约，属于解析型/机制解释研究；具体识别、模型与数据细节以全文复核为准。</x:v>
      </x:c>
      <x:c r="U104" s="45" t="str">
        <x:v>abstract</x:v>
      </x:c>
      <x:c r="V104" s="45" t="str">
        <x:v>待逐篇全文复核</x:v>
      </x:c>
      <x:c r="W104" s="45" t="str">
        <x:v>https://doi.org/10.1111/deci.12539</x:v>
      </x:c>
      <x:c r="X104" s="45" t="str">
        <x:v>https://openalex.org/W3181624502</x:v>
      </x:c>
      <x:c r="Y104" s="46" t="str">
        <x:v>Abstract Consumers with uncertainty about product value often evaluate a product in a physical store but then purchase it online at a lower price. This popular shopping behavior is referred to as “showrooming.” Recent studies find that showrooming adversely affects the retailer. The advance of e‐commerce has attracted an increasing number of suppliers to the practice of building an online channel alongside their…</x:v>
      </x:c>
    </x:row>
  </x:sheetData>
  <x:mergeCells>
    <x:mergeCell ref="A1:Y1"/>
    <x:mergeCell ref="A2:Y2"/>
  </x:mergeCells>
  <x:conditionalFormatting sqref="B5:B104">
    <x:cfRule type="containsText" dxfId="0" priority="1" operator="containsText" text="classic_high_cited"/>
    <x:cfRule type="containsText" dxfId="1" priority="2" operator="containsText" text="recent_hot_2021_2025"/>
  </x:conditionalFormatting>
  <x:pageMargins left="0.7" right="0.7" top="0.75" bottom="0.75" header="0.3" footer="0.3"/>
  <x:tableParts count="1">
    <x:tablePart xmlns:r="http://schemas.openxmlformats.org/officeDocument/2006/relationships" r:id="Rfc805d353367463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28" hidden="0" customWidth="1"/>
    <x:col min="4" max="4" width="18" hidden="0" customWidth="1"/>
    <x:col min="5" max="5" width="34" hidden="0" customWidth="1"/>
    <x:col min="6" max="6" width="28" hidden="0" customWidth="1"/>
    <x:col min="7" max="7" width="44" hidden="0" customWidth="1"/>
    <x:col min="8" max="8" width="52" hidden="0" customWidth="1"/>
    <x:col min="9" max="9" width="42" hidden="0" customWidth="1"/>
    <x:col min="10" max="10" width="42" hidden="0" customWidth="1"/>
    <x:col min="11" max="11" width="30" hidden="0" customWidth="1"/>
    <x:col min="12" max="12" width="18" hidden="0" customWidth="1"/>
    <x:col min="13" max="13" width="46" hidden="0" customWidth="1"/>
  </x:cols>
  <x:sheetData>
    <x:row r="1" ht="30" customHeight="1">
      <x:c r="A1" s="3" t="str">
        <x:v>Management Science Method Library</x:v>
      </x:c>
      <x:c r="B1" s="3"/>
      <x:c r="C1" s="3"/>
      <x:c r="D1" s="3"/>
      <x:c r="E1" s="3"/>
      <x:c r="F1" s="3"/>
      <x:c r="G1" s="3"/>
      <x:c r="H1" s="3"/>
      <x:c r="I1" s="3"/>
      <x:c r="J1" s="3"/>
      <x:c r="K1" s="3"/>
      <x:c r="L1" s="3"/>
      <x:c r="M1" s="3"/>
    </x:row>
    <x:row r="2" ht="30" customHeight="1">
      <x:c r="A2" s="7" t="str">
        <x:v>28 versionable method cards. Use Goal + Data + Assumptions before choosing a model; each recommendation must expose diagnostics, robustness, and failure conditions.</x:v>
      </x:c>
      <x:c r="B2" s="7"/>
      <x:c r="C2" s="7"/>
      <x:c r="D2" s="7"/>
      <x:c r="E2" s="7"/>
      <x:c r="F2" s="7"/>
      <x:c r="G2" s="7"/>
      <x:c r="H2" s="7"/>
      <x:c r="I2" s="7"/>
      <x:c r="J2" s="7"/>
      <x:c r="K2" s="7"/>
      <x:c r="L2" s="7"/>
      <x:c r="M2" s="7"/>
    </x:row>
    <x:row r="4" ht="32" customHeight="1">
      <x:c r="A4" s="16" t="str">
        <x:v>ID</x:v>
      </x:c>
      <x:c r="B4" s="17" t="str">
        <x:v>Family</x:v>
      </x:c>
      <x:c r="C4" s="17" t="str">
        <x:v>Method</x:v>
      </x:c>
      <x:c r="D4" s="17" t="str">
        <x:v>Lane</x:v>
      </x:c>
      <x:c r="E4" s="17" t="str">
        <x:v>Goal</x:v>
      </x:c>
      <x:c r="F4" s="17" t="str">
        <x:v>Minimum Data</x:v>
      </x:c>
      <x:c r="G4" s="17" t="str">
        <x:v>Assumptions</x:v>
      </x:c>
      <x:c r="H4" s="17" t="str">
        <x:v>Workflow</x:v>
      </x:c>
      <x:c r="I4" s="17" t="str">
        <x:v>Diagnostics</x:v>
      </x:c>
      <x:c r="J4" s="17" t="str">
        <x:v>Robustness</x:v>
      </x:c>
      <x:c r="K4" s="17" t="str">
        <x:v>Packages</x:v>
      </x:c>
      <x:c r="L4" s="17" t="str">
        <x:v>Formula IDs</x:v>
      </x:c>
      <x:c r="M4" s="18" t="str">
        <x:v>Common Failure</x:v>
      </x:c>
    </x:row>
    <x:row r="5" ht="42" customHeight="1">
      <x:c r="A5" s="38" t="str">
        <x:v>M01</x:v>
      </x:c>
      <x:c r="B5" s="39" t="str">
        <x:v>基础统计</x:v>
      </x:c>
      <x:c r="C5" s="39" t="str">
        <x:v>描述统计与探索性数据分析</x:v>
      </x:c>
      <x:c r="D5" s="39" t="str">
        <x:v>共享基础</x:v>
      </x:c>
      <x:c r="E5" s="39" t="str">
        <x:v>理解分布、缺失、异常、关联与数据生成过程</x:v>
      </x:c>
      <x:c r="F5" s="39" t="str">
        <x:v>结构化或半结构化样本</x:v>
      </x:c>
      <x:c r="G5" s="39" t="str">
        <x:v>样本定义一致；统计口径可比</x:v>
      </x:c>
      <x:c r="H5" s="39" t="str">
        <x:v>口径表→缺失/异常→分布→分组→相关→可视化→异常说明</x:v>
      </x:c>
      <x:c r="I5" s="39" t="str">
        <x:v>缺失机制、极端值、重复记录、单位与时间对齐</x:v>
      </x:c>
      <x:c r="J5" s="39" t="str">
        <x:v>替代口径、缩尾/稳健统计、分层描述</x:v>
      </x:c>
      <x:c r="K5" s="39" t="str">
        <x:v>pandas/Polars; R tidyverse; DuckDB</x:v>
      </x:c>
      <x:c r="L5" s="39" t="str">
        <x:v>STAT-01</x:v>
      </x:c>
      <x:c r="M5" s="40" t="str">
        <x:v>把相关性当因果，或在清洗前就开始建模</x:v>
      </x:c>
    </x:row>
    <x:row r="6" ht="42" customHeight="1">
      <x:c r="A6" s="41" t="str">
        <x:v>M02</x:v>
      </x:c>
      <x:c r="B6" s="42" t="str">
        <x:v>统计实证</x:v>
      </x:c>
      <x:c r="C6" s="42" t="str">
        <x:v>OLS/GLM 回归</x:v>
      </x:c>
      <x:c r="D6" s="42" t="str">
        <x:v>实证解释</x:v>
      </x:c>
      <x:c r="E6" s="42" t="str">
        <x:v>估计条件相关或广义响应关系</x:v>
      </x:c>
      <x:c r="F6" s="42" t="str">
        <x:v>截面、面板或计数/二元结果</x:v>
      </x:c>
      <x:c r="G6" s="42" t="str">
        <x:v>线性/链接函数正确；误差与解释变量关系满足估计要求</x:v>
      </x:c>
      <x:c r="H6" s="42" t="str">
        <x:v>理论→变量→基准式→估计→诊断→替代式→解释</x:v>
      </x:c>
      <x:c r="I6" s="42" t="str">
        <x:v>残差、异方差、共线性、聚类结构、过度离散</x:v>
      </x:c>
      <x:c r="J6" s="42" t="str">
        <x:v>稳健/聚类标准误、替代因变量、非线性、删样本</x:v>
      </x:c>
      <x:c r="K6" s="42" t="str">
        <x:v>statsmodels; R fixest/glm</x:v>
      </x:c>
      <x:c r="L6" s="42" t="str">
        <x:v>STAT-02; STAT-03; STAT-04</x:v>
      </x:c>
      <x:c r="M6" s="43" t="str">
        <x:v>只报告显著性，不报告效应量、区间与实际意义</x:v>
      </x:c>
    </x:row>
    <x:row r="7" ht="42" customHeight="1">
      <x:c r="A7" s="41" t="str">
        <x:v>M03</x:v>
      </x:c>
      <x:c r="B7" s="42" t="str">
        <x:v>统计实证</x:v>
      </x:c>
      <x:c r="C7" s="42" t="str">
        <x:v>面板固定效应/随机效应</x:v>
      </x:c>
      <x:c r="D7" s="42" t="str">
        <x:v>实证解释</x:v>
      </x:c>
      <x:c r="E7" s="42" t="str">
        <x:v>控制不可观测个体或时间不变异质性</x:v>
      </x:c>
      <x:c r="F7" s="42" t="str">
        <x:v>个体×时间面板</x:v>
      </x:c>
      <x:c r="G7" s="42" t="str">
        <x:v>严格外生或给定效应下外生；组内变异足够</x:v>
      </x:c>
      <x:c r="H7" s="42" t="str">
        <x:v>面板审计→FE/RE 选择→双向效应→聚类误差→动态/滞后检验</x:v>
      </x:c>
      <x:c r="I7" s="42" t="str">
        <x:v>组内变异、序列相关、横截面相关、短面板偏误</x:v>
      </x:c>
      <x:c r="J7" s="42" t="str">
        <x:v>双向聚类、趋势项、滞后、Arellano-Bond/系统 GMM</x:v>
      </x:c>
      <x:c r="K7" s="42" t="str">
        <x:v>linearmodels; R fixest/plm</x:v>
      </x:c>
      <x:c r="L7" s="42" t="str">
        <x:v>STAT-04</x:v>
      </x:c>
      <x:c r="M7" s="43" t="str">
        <x:v>固定效应吸收了核心变量后仍强行解释</x:v>
      </x:c>
    </x:row>
    <x:row r="8" ht="42" customHeight="1">
      <x:c r="A8" s="41" t="str">
        <x:v>M04</x:v>
      </x:c>
      <x:c r="B8" s="42" t="str">
        <x:v>测量模型</x:v>
      </x:c>
      <x:c r="C8" s="42" t="str">
        <x:v>结构方程模型/PLS-SEM</x:v>
      </x:c>
      <x:c r="D8" s="42" t="str">
        <x:v>实证解释</x:v>
      </x:c>
      <x:c r="E8" s="42" t="str">
        <x:v>估计潜变量、测量关系与结构路径</x:v>
      </x:c>
      <x:c r="F8" s="42" t="str">
        <x:v>问卷、量表、多指标构念</x:v>
      </x:c>
      <x:c r="G8" s="42" t="str">
        <x:v>构念有效；样本与估计器匹配；模型可识别</x:v>
      </x:c>
      <x:c r="H8" s="42" t="str">
        <x:v>理论构念→量表→预测试→测量模型→结构模型→中介/调节</x:v>
      </x:c>
      <x:c r="I8" s="42" t="str">
        <x:v>信度、聚合/区分效度、共同方法偏差、拟合</x:v>
      </x:c>
      <x:c r="J8" s="42" t="str">
        <x:v>替代测量、竞争模型、多群组、不变性检验</x:v>
      </x:c>
      <x:c r="K8" s="42" t="str">
        <x:v>R lavaan/seminr; Mplus; SmartPLS</x:v>
      </x:c>
      <x:c r="L8" s="42" t="str">
        <x:v>STAT-06</x:v>
      </x:c>
      <x:c r="M8" s="43" t="str">
        <x:v>用 PLS 规避糟糕测量，或用拟合指标替代理论</x:v>
      </x:c>
    </x:row>
    <x:row r="9" ht="42" customHeight="1">
      <x:c r="A9" s="41" t="str">
        <x:v>M05</x:v>
      </x:c>
      <x:c r="B9" s="42" t="str">
        <x:v>事件过程</x:v>
      </x:c>
      <x:c r="C9" s="42" t="str">
        <x:v>生存分析/风险模型</x:v>
      </x:c>
      <x:c r="D9" s="42" t="str">
        <x:v>实证解释</x:v>
      </x:c>
      <x:c r="E9" s="42" t="str">
        <x:v>分析事件发生时间与删失</x:v>
      </x:c>
      <x:c r="F9" s="42" t="str">
        <x:v>持续时间、事件状态、协变量</x:v>
      </x:c>
      <x:c r="G9" s="42" t="str">
        <x:v>删失机制合理；比例风险等模型假设可检验</x:v>
      </x:c>
      <x:c r="H9" s="42" t="str">
        <x:v>定义起点/事件→删失→KM→Cox/AFT→时变协变量→预测</x:v>
      </x:c>
      <x:c r="I9" s="42" t="str">
        <x:v>比例风险、竞争风险、信息性删失</x:v>
      </x:c>
      <x:c r="J9" s="42" t="str">
        <x:v>AFT、分层 Cox、Fine-Gray、替代时间窗</x:v>
      </x:c>
      <x:c r="K9" s="42" t="str">
        <x:v>lifelines; scikit-survival; R survival</x:v>
      </x:c>
      <x:c r="L9" s="42" t="str">
        <x:v>STAT-05</x:v>
      </x:c>
      <x:c r="M9" s="43" t="str">
        <x:v>忽略左截断、重复事件或竞争风险</x:v>
      </x:c>
    </x:row>
    <x:row r="10" ht="42" customHeight="1">
      <x:c r="A10" s="41" t="str">
        <x:v>M06</x:v>
      </x:c>
      <x:c r="B10" s="42" t="str">
        <x:v>因果推断</x:v>
      </x:c>
      <x:c r="C10" s="42" t="str">
        <x:v>双重差分与事件研究</x:v>
      </x:c>
      <x:c r="D10" s="42" t="str">
        <x:v>因果识别</x:v>
      </x:c>
      <x:c r="E10" s="42" t="str">
        <x:v>估计政策/冲击对处理组的平均影响</x:v>
      </x:c>
      <x:c r="F10" s="42" t="str">
        <x:v>处理组、对照组、处理时间、面板/重复截面</x:v>
      </x:c>
      <x:c r="G10" s="42" t="str">
        <x:v>平行趋势、无提前反应、无干扰；分期处理需正确估计</x:v>
      </x:c>
      <x:c r="H10" s="42" t="str">
        <x:v>DAG→处理定义→样本→动态效应→平行趋势→异质性→安慰剂</x:v>
      </x:c>
      <x:c r="I10" s="42" t="str">
        <x:v>预趋势、处理时点异质、组别构成、溢出</x:v>
      </x:c>
      <x:c r="J10" s="42" t="str">
        <x:v>Callaway-Sant'Anna/Sun-Abraham、替代对照、placebo</x:v>
      </x:c>
      <x:c r="K10" s="42" t="str">
        <x:v>R did/fixest; Stata csdid; Python linearmodels</x:v>
      </x:c>
      <x:c r="L10" s="42" t="str">
        <x:v>CAUS-02; CAUS-03</x:v>
      </x:c>
      <x:c r="M10" s="43" t="str">
        <x:v>对分期处理直接使用传统 TWFE 并误读权重</x:v>
      </x:c>
    </x:row>
    <x:row r="11" ht="42" customHeight="1">
      <x:c r="A11" s="41" t="str">
        <x:v>M07</x:v>
      </x:c>
      <x:c r="B11" s="42" t="str">
        <x:v>因果推断</x:v>
      </x:c>
      <x:c r="C11" s="42" t="str">
        <x:v>工具变量/2SLS</x:v>
      </x:c>
      <x:c r="D11" s="42" t="str">
        <x:v>因果识别</x:v>
      </x:c>
      <x:c r="E11" s="42" t="str">
        <x:v>处理内生性并估计局部平均处理效应</x:v>
      </x:c>
      <x:c r="F11" s="42" t="str">
        <x:v>结果、内生处理、工具变量、控制变量</x:v>
      </x:c>
      <x:c r="G11" s="42" t="str">
        <x:v>相关性、排除限制、独立性、单调性</x:v>
      </x:c>
      <x:c r="H11" s="42" t="str">
        <x:v>机制/DAG→一阶段→弱工具检验→2SLS→过识别→LATE 解释</x:v>
      </x:c>
      <x:c r="I11" s="42" t="str">
        <x:v>第一阶段 F、弱工具、排除限制、异质效应</x:v>
      </x:c>
      <x:c r="J11" s="42" t="str">
        <x:v>LIML、不同工具、Conley bounds、负向对照</x:v>
      </x:c>
      <x:c r="K11" s="42" t="str">
        <x:v>linearmodels IV; R AER/fixest; Stata ivreg2</x:v>
      </x:c>
      <x:c r="L11" s="42" t="str">
        <x:v>CAUS-04</x:v>
      </x:c>
      <x:c r="M11" s="43" t="str">
        <x:v>只证明工具相关，不论证排除限制</x:v>
      </x:c>
    </x:row>
    <x:row r="12" ht="42" customHeight="1">
      <x:c r="A12" s="41" t="str">
        <x:v>M08</x:v>
      </x:c>
      <x:c r="B12" s="42" t="str">
        <x:v>因果推断</x:v>
      </x:c>
      <x:c r="C12" s="42" t="str">
        <x:v>回归不连续设计</x:v>
      </x:c>
      <x:c r="D12" s="42" t="str">
        <x:v>因果识别</x:v>
      </x:c>
      <x:c r="E12" s="42" t="str">
        <x:v>利用阈值规则识别局部因果效应</x:v>
      </x:c>
      <x:c r="F12" s="42" t="str">
        <x:v>运行变量、阈值、处理状态、结果</x:v>
      </x:c>
      <x:c r="G12" s="42" t="str">
        <x:v>阈值附近连续、不可精确操纵、函数形式局部有效</x:v>
      </x:c>
      <x:c r="H12" s="42" t="str">
        <x:v>制度规则→带宽→图形→局部多项式→密度/协变量检验→稳健性</x:v>
      </x:c>
      <x:c r="I12" s="42" t="str">
        <x:v>McCrary 密度、协变量平衡、带宽、donut RDD</x:v>
      </x:c>
      <x:c r="J12" s="42" t="str">
        <x:v>多带宽/核、局部随机化、placebo cutoff</x:v>
      </x:c>
      <x:c r="K12" s="42" t="str">
        <x:v>R rdrobust; Python rdrobust</x:v>
      </x:c>
      <x:c r="L12" s="42" t="str">
        <x:v>CAUS-05</x:v>
      </x:c>
      <x:c r="M12" s="43" t="str">
        <x:v>高阶全局多项式造成虚假跳跃</x:v>
      </x:c>
    </x:row>
    <x:row r="13" ht="42" customHeight="1">
      <x:c r="A13" s="41" t="str">
        <x:v>M09</x:v>
      </x:c>
      <x:c r="B13" s="42" t="str">
        <x:v>因果推断</x:v>
      </x:c>
      <x:c r="C13" s="42" t="str">
        <x:v>合成控制</x:v>
      </x:c>
      <x:c r="D13" s="42" t="str">
        <x:v>因果识别</x:v>
      </x:c>
      <x:c r="E13" s="42" t="str">
        <x:v>为单个或少数处理单位构造反事实</x:v>
      </x:c>
      <x:c r="F13" s="42" t="str">
        <x:v>长处理前序列、供体池、处理后结果</x:v>
      </x:c>
      <x:c r="G13" s="42" t="str">
        <x:v>供体池未受处理；处理前拟合充分；无强溢出</x:v>
      </x:c>
      <x:c r="H13" s="42" t="str">
        <x:v>供体池→预测变量→权重→前期拟合→后期差距→置换检验</x:v>
      </x:c>
      <x:c r="I13" s="42" t="str">
        <x:v>RMSPE、供体权重集中、处理前拟合、溢出</x:v>
      </x:c>
      <x:c r="J13" s="42" t="str">
        <x:v>leave-one-out、augmented SC、matrix completion</x:v>
      </x:c>
      <x:c r="K13" s="42" t="str">
        <x:v>R Synth/augsynth; Python SyntheticControlMethods</x:v>
      </x:c>
      <x:c r="L13" s="42" t="str">
        <x:v>CAUS-06</x:v>
      </x:c>
      <x:c r="M13" s="43" t="str">
        <x:v>供体池不合格或前期拟合差仍宣称因果</x:v>
      </x:c>
    </x:row>
    <x:row r="14" ht="42" customHeight="1">
      <x:c r="A14" s="41" t="str">
        <x:v>M10</x:v>
      </x:c>
      <x:c r="B14" s="42" t="str">
        <x:v>因果机器学习</x:v>
      </x:c>
      <x:c r="C14" s="42" t="str">
        <x:v>DML/因果森林与异质效应</x:v>
      </x:c>
      <x:c r="D14" s="42" t="str">
        <x:v>因果识别</x:v>
      </x:c>
      <x:c r="E14" s="42" t="str">
        <x:v>在高维控制下估计 ATE/CATE</x:v>
      </x:c>
      <x:c r="F14" s="42" t="str">
        <x:v>个体级处理、结果、高维协变量</x:v>
      </x:c>
      <x:c r="G14" s="42" t="str">
        <x:v>重叠、无未观测混杂或有效工具；交叉拟合正确</x:v>
      </x:c>
      <x:c r="H14" s="42" t="str">
        <x:v>DAG→样本分割→nuisance 模型→正交化→ATE/CATE→校准</x:v>
      </x:c>
      <x:c r="I14" s="42" t="str">
        <x:v>重叠、nuisance 误差、校准、CATE 稳定性</x:v>
      </x:c>
      <x:c r="J14" s="42" t="str">
        <x:v>不同 learner、敏感性分析、honest splitting</x:v>
      </x:c>
      <x:c r="K14" s="42" t="str">
        <x:v>EconML; DoubleML; grf</x:v>
      </x:c>
      <x:c r="L14" s="42" t="str">
        <x:v>CAUS-08</x:v>
      </x:c>
      <x:c r="M14" s="43" t="str">
        <x:v>把异质性排序当成已验证的个体因果效应</x:v>
      </x:c>
    </x:row>
    <x:row r="15" ht="42" customHeight="1">
      <x:c r="A15" s="41" t="str">
        <x:v>M11</x:v>
      </x:c>
      <x:c r="B15" s="42" t="str">
        <x:v>实验</x:v>
      </x:c>
      <x:c r="C15" s="42" t="str">
        <x:v>实验室/现场/在线随机实验</x:v>
      </x:c>
      <x:c r="D15" s="42" t="str">
        <x:v>因果识别</x:v>
      </x:c>
      <x:c r="E15" s="42" t="str">
        <x:v>通过随机化估计干预效应与机制</x:v>
      </x:c>
      <x:c r="F15" s="42" t="str">
        <x:v>处理分配、结果、预注册指标</x:v>
      </x:c>
      <x:c r="G15" s="42" t="str">
        <x:v>随机化有效；SUTVA；流失与不依从可处理</x:v>
      </x:c>
      <x:c r="H15" s="42" t="str">
        <x:v>理论→预注册→功效→随机化→操纵→估计→多重检验→外部效度</x:v>
      </x:c>
      <x:c r="I15" s="42" t="str">
        <x:v>平衡、操纵检验、流失、不依从、干扰</x:v>
      </x:c>
      <x:c r="J15" s="42" t="str">
        <x:v>ITT/TOT、随机化推断、分层、替代指标</x:v>
      </x:c>
      <x:c r="K15" s="42" t="str">
        <x:v>R DeclareDesign; statsmodels; Qualtrics/oTree</x:v>
      </x:c>
      <x:c r="L15" s="42" t="str">
        <x:v>EXP-01; EXP-02</x:v>
      </x:c>
      <x:c r="M15" s="43" t="str">
        <x:v>事后改主指标、低功效或多重比较未校正</x:v>
      </x:c>
    </x:row>
    <x:row r="16" ht="42" customHeight="1">
      <x:c r="A16" s="41" t="str">
        <x:v>M12</x:v>
      </x:c>
      <x:c r="B16" s="42" t="str">
        <x:v>定性研究</x:v>
      </x:c>
      <x:c r="C16" s="42" t="str">
        <x:v>案例研究/访谈/扎根理论</x:v>
      </x:c>
      <x:c r="D16" s="42" t="str">
        <x:v>探索与理论生成</x:v>
      </x:c>
      <x:c r="E16" s="42" t="str">
        <x:v>解释新现象、过程与机制并生成理论</x:v>
      </x:c>
      <x:c r="F16" s="42" t="str">
        <x:v>访谈、档案、观察、过程资料</x:v>
      </x:c>
      <x:c r="G16" s="42" t="str">
        <x:v>理论抽样合理；证据链与反例处理透明</x:v>
      </x:c>
      <x:c r="H16" s="42" t="str">
        <x:v>研究边界→理论抽样→协议→编码→范畴→机制→跨案例→饱和</x:v>
      </x:c>
      <x:c r="I16" s="42" t="str">
        <x:v>编码一致性、负例、三角验证、研究者反思</x:v>
      </x:c>
      <x:c r="J16" s="42" t="str">
        <x:v>替代解释、成员核验、审计轨迹、不同编码者</x:v>
      </x:c>
      <x:c r="K16" s="42" t="str">
        <x:v>NVivo/Atlas.ti; Python/R text tooling</x:v>
      </x:c>
      <x:c r="L16" s="42" t="str"/>
      <x:c r="M16" s="43" t="str">
        <x:v>把少数案例频数化，或没有证据链就做普遍因果主张</x:v>
      </x:c>
    </x:row>
    <x:row r="17" ht="42" customHeight="1">
      <x:c r="A17" s="41" t="str">
        <x:v>M13</x:v>
      </x:c>
      <x:c r="B17" s="42" t="str">
        <x:v>证据综合</x:v>
      </x:c>
      <x:c r="C17" s="42" t="str">
        <x:v>系统综述/文献计量/元分析</x:v>
      </x:c>
      <x:c r="D17" s="42" t="str">
        <x:v>证据综合</x:v>
      </x:c>
      <x:c r="E17" s="42" t="str">
        <x:v>系统识别、编码并综合研究结论</x:v>
      </x:c>
      <x:c r="F17" s="42" t="str">
        <x:v>文献记录、效应量、编码表</x:v>
      </x:c>
      <x:c r="G17" s="42" t="str">
        <x:v>检索与纳排可复现；效应量可比；偏倚可评估</x:v>
      </x:c>
      <x:c r="H17" s="42" t="str">
        <x:v>协议→多库检索→去重→筛选→编码→质量→综合→偏倚→议程</x:v>
      </x:c>
      <x:c r="I17" s="42" t="str">
        <x:v>覆盖率、双人一致性、发表偏倚、异质性</x:v>
      </x:c>
      <x:c r="J17" s="42" t="str">
        <x:v>替代检索式、leave-one-out、质量加权、p-curve</x:v>
      </x:c>
      <x:c r="K17" s="42" t="str">
        <x:v>ASReview; revtools; metafor; bibliometrix</x:v>
      </x:c>
      <x:c r="L17" s="42" t="str">
        <x:v>META-01</x:v>
      </x:c>
      <x:c r="M17" s="43" t="str">
        <x:v>只用单一关键词/数据库，或把引用量当质量</x:v>
      </x:c>
    </x:row>
    <x:row r="18" ht="42" customHeight="1">
      <x:c r="A18" s="41" t="str">
        <x:v>M14</x:v>
      </x:c>
      <x:c r="B18" s="42" t="str">
        <x:v>设计科学</x:v>
      </x:c>
      <x:c r="C18" s="42" t="str">
        <x:v>设计科学研究/Action Design Research</x:v>
      </x:c>
      <x:c r="D18" s="42" t="str">
        <x:v>设计构建</x:v>
      </x:c>
      <x:c r="E18" s="42" t="str">
        <x:v>构建并评估解决组织问题的人工制品</x:v>
      </x:c>
      <x:c r="F18" s="42" t="str">
        <x:v>需求证据、构件日志、评估指标与场景数据</x:v>
      </x:c>
      <x:c r="G18" s="42" t="str">
        <x:v>问题重要；设计知识可抽象；评估与主张匹配</x:v>
      </x:c>
      <x:c r="H18" s="42" t="str">
        <x:v>问题→设计目标→构件→原型→评估→迭代→设计原则</x:v>
      </x:c>
      <x:c r="I18" s="42" t="str">
        <x:v>效用、可用性、技术正确性、场景适配、可迁移性</x:v>
      </x:c>
      <x:c r="J18" s="42" t="str">
        <x:v>多场景评估、基线、消融、对抗/极端案例</x:v>
      </x:c>
      <x:c r="K18" s="42" t="str">
        <x:v>Git; experiment harness; UX analytics</x:v>
      </x:c>
      <x:c r="L18" s="42" t="str">
        <x:v>DSR-01</x:v>
      </x:c>
      <x:c r="M18" s="43" t="str">
        <x:v>只做软件开发，没有研究问题、评估和可迁移设计知识</x:v>
      </x:c>
    </x:row>
    <x:row r="19" ht="42" customHeight="1">
      <x:c r="A19" s="41" t="str">
        <x:v>M15</x:v>
      </x:c>
      <x:c r="B19" s="42" t="str">
        <x:v>运筹优化</x:v>
      </x:c>
      <x:c r="C19" s="42" t="str">
        <x:v>线性规划/混合整数规划</x:v>
      </x:c>
      <x:c r="D19" s="42" t="str">
        <x:v>规范决策</x:v>
      </x:c>
      <x:c r="E19" s="42" t="str">
        <x:v>在约束下求最优资源配置与计划</x:v>
      </x:c>
      <x:c r="F19" s="42" t="str">
        <x:v>参数、决策变量、目标、约束</x:v>
      </x:c>
      <x:c r="G19" s="42" t="str">
        <x:v>线性关系；参数口径一致；可行域与整数性正确</x:v>
      </x:c>
      <x:c r="H19" s="42" t="str">
        <x:v>业务规则→变量→目标→约束→小例验证→求解→gap→敏感性</x:v>
      </x:c>
      <x:c r="I19" s="42" t="str">
        <x:v>可行性、最优 gap、规模、对偶值、约束绑定</x:v>
      </x:c>
      <x:c r="J19" s="42" t="str">
        <x:v>替代目标/权重、场景、松弛、warm start</x:v>
      </x:c>
      <x:c r="K19" s="42" t="str">
        <x:v>Pyomo/PuLP/OR-Tools; Gurobi/CPLEX/HiGHS</x:v>
      </x:c>
      <x:c r="L19" s="42" t="str">
        <x:v>OPT-01; OPT-02</x:v>
      </x:c>
      <x:c r="M19" s="43" t="str">
        <x:v>模型可解但业务不可执行，或把单位/索引写错</x:v>
      </x:c>
    </x:row>
    <x:row r="20" ht="42" customHeight="1">
      <x:c r="A20" s="41" t="str">
        <x:v>M16</x:v>
      </x:c>
      <x:c r="B20" s="42" t="str">
        <x:v>运筹优化</x:v>
      </x:c>
      <x:c r="C20" s="42" t="str">
        <x:v>随机规划/鲁棒优化/机会约束</x:v>
      </x:c>
      <x:c r="D20" s="42" t="str">
        <x:v>规范决策</x:v>
      </x:c>
      <x:c r="E20" s="42" t="str">
        <x:v>在不确定性下给出可控风险的决策</x:v>
      </x:c>
      <x:c r="F20" s="42" t="str">
        <x:v>场景/不确定集合/概率分布、成本与约束</x:v>
      </x:c>
      <x:c r="G20" s="42" t="str">
        <x:v>不确定性表示与业务风险一致；样本外可验证</x:v>
      </x:c>
      <x:c r="H20" s="42" t="str">
        <x:v>不确定源→场景/集合→两阶段/鲁棒模型→求解→样本外→保守度</x:v>
      </x:c>
      <x:c r="I20" s="42" t="str">
        <x:v>样本外违约率、VSS/EVPI、价格鲁棒性、分布漂移</x:v>
      </x:c>
      <x:c r="J20" s="42" t="str">
        <x:v>不同集合半径、bootstrap 场景、DRO、stress test</x:v>
      </x:c>
      <x:c r="K20" s="42" t="str">
        <x:v>Pyomo; CVXPY; Gurobi; RSOME</x:v>
      </x:c>
      <x:c r="L20" s="42" t="str">
        <x:v>OPT-03; OPT-04; OPT-05</x:v>
      </x:c>
      <x:c r="M20" s="43" t="str">
        <x:v>在训练场景内漂亮、样本外失效；鲁棒半径任意</x:v>
      </x:c>
    </x:row>
    <x:row r="21" ht="42" customHeight="1">
      <x:c r="A21" s="41" t="str">
        <x:v>M17</x:v>
      </x:c>
      <x:c r="B21" s="42" t="str">
        <x:v>动态决策</x:v>
      </x:c>
      <x:c r="C21" s="42" t="str">
        <x:v>动态规划/MDP/强化学习</x:v>
      </x:c>
      <x:c r="D21" s="42" t="str">
        <x:v>规范决策</x:v>
      </x:c>
      <x:c r="E21" s="42" t="str">
        <x:v>在状态随时间演化时学习最优策略</x:v>
      </x:c>
      <x:c r="F21" s="42" t="str">
        <x:v>状态、动作、转移、奖励、折扣/终止</x:v>
      </x:c>
      <x:c r="G21" s="42" t="str">
        <x:v>马尔可夫性近似成立；奖励与真实目标一致；离线数据覆盖</x:v>
      </x:c>
      <x:c r="H21" s="42" t="str">
        <x:v>状态/动作→Bellman→基线策略→求解/学习→离线评估→安全约束</x:v>
      </x:c>
      <x:c r="I21" s="42" t="str">
        <x:v>收敛、策略价值、覆盖、分布外动作、奖励黑客</x:v>
      </x:c>
      <x:c r="J21" s="42" t="str">
        <x:v>替代奖励、保守离线 RL、模拟器、策略约束</x:v>
      </x:c>
      <x:c r="K21" s="42" t="str">
        <x:v>Gymnasium; Stable-Baselines3; Ray RLlib; JAX/PyTorch</x:v>
      </x:c>
      <x:c r="L21" s="42" t="str">
        <x:v>STO-04; ML-05</x:v>
      </x:c>
      <x:c r="M21" s="43" t="str">
        <x:v>只看累计奖励，不检查可解释性、安全与分布外风险</x:v>
      </x:c>
    </x:row>
    <x:row r="22" ht="42" customHeight="1">
      <x:c r="A22" s="41" t="str">
        <x:v>M18</x:v>
      </x:c>
      <x:c r="B22" s="42" t="str">
        <x:v>随机系统</x:v>
      </x:c>
      <x:c r="C22" s="42" t="str">
        <x:v>排队论/离散事件仿真/仿真优化</x:v>
      </x:c>
      <x:c r="D22" s="42" t="str">
        <x:v>规范决策</x:v>
      </x:c>
      <x:c r="E22" s="42" t="str">
        <x:v>评估拥堵、容量、服务和随机流程</x:v>
      </x:c>
      <x:c r="F22" s="42" t="str">
        <x:v>到达/服务分布、流程、资源、策略</x:v>
      </x:c>
      <x:c r="G22" s="42" t="str">
        <x:v>到达服务过程有可辩护模型；稳态/热身处理正确</x:v>
      </x:c>
      <x:c r="H22" s="42" t="str">
        <x:v>流程映射→分布拟合→模型→验证→实验设计→置信区间→优化</x:v>
      </x:c>
      <x:c r="I22" s="42" t="str">
        <x:v>守恒关系、热身期、独立重复、校准、极端负载</x:v>
      </x:c>
      <x:c r="J22" s="42" t="str">
        <x:v>替代分布、压力场景、方差缩减、仿真优化</x:v>
      </x:c>
      <x:c r="K22" s="42" t="str">
        <x:v>SimPy; AnyLogic; Arena; simmer</x:v>
      </x:c>
      <x:c r="L22" s="42" t="str">
        <x:v>STO-01; STO-02</x:v>
      </x:c>
      <x:c r="M22" s="43" t="str">
        <x:v>单次仿真当结论，或不做真实系统校准</x:v>
      </x:c>
    </x:row>
    <x:row r="23" ht="42" customHeight="1">
      <x:c r="A23" s="41" t="str">
        <x:v>M19</x:v>
      </x:c>
      <x:c r="B23" s="42" t="str">
        <x:v>组合优化</x:v>
      </x:c>
      <x:c r="C23" s="42" t="str">
        <x:v>网络流/选址/路径与调度</x:v>
      </x:c>
      <x:c r="D23" s="42" t="str">
        <x:v>规范决策</x:v>
      </x:c>
      <x:c r="E23" s="42" t="str">
        <x:v>优化物流、交通、网络设计和资源时空匹配</x:v>
      </x:c>
      <x:c r="F23" s="42" t="str">
        <x:v>图、需求、容量、成本、时间窗</x:v>
      </x:c>
      <x:c r="G23" s="42" t="str">
        <x:v>网络与约束真实；规模与求解策略匹配</x:v>
      </x:c>
      <x:c r="H23" s="42" t="str">
        <x:v>图建模→基准 MILP→分解/启发式→算例→真实实例→敏感性</x:v>
      </x:c>
      <x:c r="I23" s="42" t="str">
        <x:v>可行率、最优 gap、运行时、不同规模、业务 KPI</x:v>
      </x:c>
      <x:c r="J23" s="42" t="str">
        <x:v>多初值、精确算法对照、消融、扰动测试</x:v>
      </x:c>
      <x:c r="K23" s="42" t="str">
        <x:v>OR-Tools; NetworkX; PyVRP; Gurobi</x:v>
      </x:c>
      <x:c r="L23" s="42" t="str">
        <x:v>OPT-06; OPT-07; OPT-08</x:v>
      </x:c>
      <x:c r="M23" s="43" t="str">
        <x:v>只和弱基线比较，或测试实例与真实规模不匹配</x:v>
      </x:c>
    </x:row>
    <x:row r="24" ht="42" customHeight="1">
      <x:c r="A24" s="41" t="str">
        <x:v>M20</x:v>
      </x:c>
      <x:c r="B24" s="42" t="str">
        <x:v>运营模型</x:v>
      </x:c>
      <x:c r="C24" s="42" t="str">
        <x:v>库存/收益管理/定价</x:v>
      </x:c>
      <x:c r="D24" s="42" t="str">
        <x:v>规范决策</x:v>
      </x:c>
      <x:c r="E24" s="42" t="str">
        <x:v>平衡缺货、持有、容量与价格收益</x:v>
      </x:c>
      <x:c r="F24" s="42" t="str">
        <x:v>需求分布、成本、提前期、容量、价格响应</x:v>
      </x:c>
      <x:c r="G24" s="42" t="str">
        <x:v>需求和成本估计可用；政策边界清晰</x:v>
      </x:c>
      <x:c r="H24" s="42" t="str">
        <x:v>需求→成本→基准模型→最优政策→估计/校准→仿真→敏感性</x:v>
      </x:c>
      <x:c r="I24" s="42" t="str">
        <x:v>服务水平、缺货/积压、估计误差、非平稳性</x:v>
      </x:c>
      <x:c r="J24" s="42" t="str">
        <x:v>分布鲁棒、滚动窗口、情景、行为偏差</x:v>
      </x:c>
      <x:c r="K24" s="42" t="str">
        <x:v>Pyomo; scipy; inventory/forecast packages</x:v>
      </x:c>
      <x:c r="L24" s="42" t="str">
        <x:v>OPT-09; OPT-10</x:v>
      </x:c>
      <x:c r="M24" s="43" t="str">
        <x:v>用历史均值代替需求不确定性，或忽略执行约束</x:v>
      </x:c>
    </x:row>
    <x:row r="25" ht="42" customHeight="1">
      <x:c r="A25" s="41" t="str">
        <x:v>M21</x:v>
      </x:c>
      <x:c r="B25" s="42" t="str">
        <x:v>解析建模</x:v>
      </x:c>
      <x:c r="C25" s="42" t="str">
        <x:v>博弈论/机制设计/契约</x:v>
      </x:c>
      <x:c r="D25" s="42" t="str">
        <x:v>机制解释</x:v>
      </x:c>
      <x:c r="E25" s="42" t="str">
        <x:v>解释战略互动并设计激励、平台或供应链机制</x:v>
      </x:c>
      <x:c r="F25" s="42" t="str">
        <x:v>参与者、行动、信息、效用/利润、时序</x:v>
      </x:c>
      <x:c r="G25" s="42" t="str">
        <x:v>理性与信息结构适配；均衡存在/唯一性与边界明确</x:v>
      </x:c>
      <x:c r="H25" s="42" t="str">
        <x:v>参与者→时序→收益→均衡→比较静态→福利→机制设计→数值校准</x:v>
      </x:c>
      <x:c r="I25" s="42" t="str">
        <x:v>均衡多重性、参数边界、参与约束、社会福利</x:v>
      </x:c>
      <x:c r="J25" s="42" t="str">
        <x:v>替代时序/信息、行为偏差、经验校准、数值全局搜索</x:v>
      </x:c>
      <x:c r="K25" s="42" t="str">
        <x:v>Mathematica/Maple; SymPy; scipy/JAX</x:v>
      </x:c>
      <x:c r="L25" s="42" t="str">
        <x:v>GAME-01; GAME-02; GAME-03</x:v>
      </x:c>
      <x:c r="M25" s="43" t="str">
        <x:v>数学均衡漂亮但参数区间不现实、管理含义不可执行</x:v>
      </x:c>
    </x:row>
    <x:row r="26" ht="42" customHeight="1">
      <x:c r="A26" s="41" t="str">
        <x:v>M22</x:v>
      </x:c>
      <x:c r="B26" s="42" t="str">
        <x:v>结构估计</x:v>
      </x:c>
      <x:c r="C26" s="42" t="str">
        <x:v>离散选择/需求与结构模型</x:v>
      </x:c>
      <x:c r="D26" s="42" t="str">
        <x:v>机制解释</x:v>
      </x:c>
      <x:c r="E26" s="42" t="str">
        <x:v>估计偏好、替代关系与反事实政策</x:v>
      </x:c>
      <x:c r="F26" s="42" t="str">
        <x:v>个体/市场选择、属性、价格、可用集合</x:v>
      </x:c>
      <x:c r="G26" s="42" t="str">
        <x:v>效用设定合理；选择集正确；价格内生性处理</x:v>
      </x:c>
      <x:c r="H26" s="42" t="str">
        <x:v>效用→选择集→识别→估计→拟合→弹性→反事实→福利</x:v>
      </x:c>
      <x:c r="I26" s="42" t="str">
        <x:v>IIA、弱识别、价格内生、外部有效性</x:v>
      </x:c>
      <x:c r="J26" s="42" t="str">
        <x:v>mixed logit、工具变量、不同市场定义、holdout</x:v>
      </x:c>
      <x:c r="K26" s="42" t="str">
        <x:v>PyLogit; Biogeme; R mlogit; pyblp</x:v>
      </x:c>
      <x:c r="L26" s="42" t="str">
        <x:v>DEMAND-01</x:v>
      </x:c>
      <x:c r="M26" s="43" t="str">
        <x:v>遗漏选择集或忽略价格内生性</x:v>
      </x:c>
    </x:row>
    <x:row r="27" ht="42" customHeight="1">
      <x:c r="A27" s="41" t="str">
        <x:v>M23</x:v>
      </x:c>
      <x:c r="B27" s="42" t="str">
        <x:v>时序预测</x:v>
      </x:c>
      <x:c r="C27" s="42" t="str">
        <x:v>ARIMA/VAR/状态空间</x:v>
      </x:c>
      <x:c r="D27" s="42" t="str">
        <x:v>预测与解释</x:v>
      </x:c>
      <x:c r="E27" s="42" t="str">
        <x:v>预测单变量或多变量动态并分析冲击</x:v>
      </x:c>
      <x:c r="F27" s="42" t="str">
        <x:v>等频时序、外生变量、足够历史</x:v>
      </x:c>
      <x:c r="G27" s="42" t="str">
        <x:v>平稳/协整与误差结构可检验；无未来泄漏</x:v>
      </x:c>
      <x:c r="H27" s="42" t="str">
        <x:v>时间切分→平稳性→基线→识别→估计→残差→滚动回测</x:v>
      </x:c>
      <x:c r="I27" s="42" t="str">
        <x:v>ACF/PACF、单位根、残差白噪声、结构突变</x:v>
      </x:c>
      <x:c r="J27" s="42" t="str">
        <x:v>滚动窗、不同滞后、状态空间、结构断点</x:v>
      </x:c>
      <x:c r="K27" s="42" t="str">
        <x:v>statsmodels; sktime; R forecast/fable/vars</x:v>
      </x:c>
      <x:c r="L27" s="42" t="str">
        <x:v>TIME-01; TIME-02</x:v>
      </x:c>
      <x:c r="M27" s="43" t="str">
        <x:v>随机打乱时序交叉验证造成信息泄漏</x:v>
      </x:c>
    </x:row>
    <x:row r="28" ht="42" customHeight="1">
      <x:c r="A28" s="41" t="str">
        <x:v>M24</x:v>
      </x:c>
      <x:c r="B28" s="42" t="str">
        <x:v>机器学习</x:v>
      </x:c>
      <x:c r="C28" s="42" t="str">
        <x:v>监督学习/集成学习</x:v>
      </x:c>
      <x:c r="D28" s="42" t="str">
        <x:v>预测计算</x:v>
      </x:c>
      <x:c r="E28" s="42" t="str">
        <x:v>预测分类、回归、排序或风险</x:v>
      </x:c>
      <x:c r="F28" s="42" t="str">
        <x:v>特征、标签、时间/组别结构</x:v>
      </x:c>
      <x:c r="G28" s="42" t="str">
        <x:v>训练与部署分布可比；标签与决策目标一致</x:v>
      </x:c>
      <x:c r="H28" s="42" t="str">
        <x:v>任务→切分→特征→基线→训练→调参→评估→解释→监控</x:v>
      </x:c>
      <x:c r="I28" s="42" t="str">
        <x:v>泄漏、校准、组别/时间外推、类别不平衡</x:v>
      </x:c>
      <x:c r="J28" s="42" t="str">
        <x:v>时间/组 CV、消融、外部测试、漂移与公平性</x:v>
      </x:c>
      <x:c r="K28" s="42" t="str">
        <x:v>scikit-learn; XGBoost; LightGBM; CatBoost</x:v>
      </x:c>
      <x:c r="L28" s="42" t="str">
        <x:v>ML-01; ML-02</x:v>
      </x:c>
      <x:c r="M28" s="43" t="str">
        <x:v>只追求一个指标，不做基线、校准和决策价值评估</x:v>
      </x:c>
    </x:row>
    <x:row r="29" ht="42" customHeight="1">
      <x:c r="A29" s="41" t="str">
        <x:v>M25</x:v>
      </x:c>
      <x:c r="B29" s="42" t="str">
        <x:v>文本与生成式AI</x:v>
      </x:c>
      <x:c r="C29" s="42" t="str">
        <x:v>NLP/嵌入/主题与文本因果</x:v>
      </x:c>
      <x:c r="D29" s="42" t="str">
        <x:v>预测计算</x:v>
      </x:c>
      <x:c r="E29" s="42" t="str">
        <x:v>把论文、评论、公告和对话转为变量或预测</x:v>
      </x:c>
      <x:c r="F29" s="42" t="str">
        <x:v>文本、时间戳、作者/实体、标签或弱监督</x:v>
      </x:c>
      <x:c r="G29" s="42" t="str">
        <x:v>语料权限清楚；时间切分；标注有效；提示与模型版本可追踪</x:v>
      </x:c>
      <x:c r="H29" s="42" t="str">
        <x:v>语料→清洗→标注→表示→模型→人工审计→稳定性→下游验证</x:v>
      </x:c>
      <x:c r="I29" s="42" t="str">
        <x:v>标注一致性、漂移、幻觉、提示敏感、去标识化</x:v>
      </x:c>
      <x:c r="J29" s="42" t="str">
        <x:v>多模型/提示、人工复核、词典基线、时间外测试</x:v>
      </x:c>
      <x:c r="K29" s="42" t="str">
        <x:v>spaCy; transformers; sentence-transformers; BERTopic</x:v>
      </x:c>
      <x:c r="L29" s="42" t="str">
        <x:v>ML-02; ML-04</x:v>
      </x:c>
      <x:c r="M29" s="43" t="str">
        <x:v>把 LLM 输出直接当真值，或无法复现模型/提示版本</x:v>
      </x:c>
    </x:row>
    <x:row r="30" ht="42" customHeight="1">
      <x:c r="A30" s="41" t="str">
        <x:v>M26</x:v>
      </x:c>
      <x:c r="B30" s="42" t="str">
        <x:v>网络科学</x:v>
      </x:c>
      <x:c r="C30" s="42" t="str">
        <x:v>社会/供应链/金融网络分析</x:v>
      </x:c>
      <x:c r="D30" s="42" t="str">
        <x:v>解释与预测</x:v>
      </x:c>
      <x:c r="E30" s="42" t="str">
        <x:v>分析关系结构、传播、中心性与系统风险</x:v>
      </x:c>
      <x:c r="F30" s="42" t="str">
        <x:v>节点、边、权重、时间或多层关系</x:v>
      </x:c>
      <x:c r="G30" s="42" t="str">
        <x:v>边定义与缺失机制合理；网络边界清楚</x:v>
      </x:c>
      <x:c r="H30" s="42" t="str">
        <x:v>关系定义→图构建→描述→中心性/社区→传播/因果→稳健性</x:v>
      </x:c>
      <x:c r="I30" s="42" t="str">
        <x:v>边阈值、边界、同配性、置换、时间演化</x:v>
      </x:c>
      <x:c r="J30" s="42" t="str">
        <x:v>替代边定义、随机网络基线、留边/留点、动态网络</x:v>
      </x:c>
      <x:c r="K30" s="42" t="str">
        <x:v>NetworkX; igraph; graph-tool; PyG</x:v>
      </x:c>
      <x:c r="L30" s="42" t="str">
        <x:v>NET-01</x:v>
      </x:c>
      <x:c r="M30" s="43" t="str">
        <x:v>把中心性当因果影响，或忽略网络采样偏误</x:v>
      </x:c>
    </x:row>
    <x:row r="31" ht="42" customHeight="1">
      <x:c r="A31" s="41" t="str">
        <x:v>M27</x:v>
      </x:c>
      <x:c r="B31" s="42" t="str">
        <x:v>贝叶斯</x:v>
      </x:c>
      <x:c r="C31" s="42" t="str">
        <x:v>贝叶斯层级模型</x:v>
      </x:c>
      <x:c r="D31" s="42" t="str">
        <x:v>实证解释</x:v>
      </x:c>
      <x:c r="E31" s="42" t="str">
        <x:v>合并先验与数据、部分池化并传播不确定性</x:v>
      </x:c>
      <x:c r="F31" s="42" t="str">
        <x:v>多层/小样本/异质群组数据</x:v>
      </x:c>
      <x:c r="G31" s="42" t="str">
        <x:v>生成模型可辨识；先验可解释；采样收敛</x:v>
      </x:c>
      <x:c r="H31" s="42" t="str">
        <x:v>DGP→先验→似然→后验采样→PPC→比较→决策</x:v>
      </x:c>
      <x:c r="I31" s="42" t="str">
        <x:v>R-hat、ESS、发散、PPC、先验敏感性</x:v>
      </x:c>
      <x:c r="J31" s="42" t="str">
        <x:v>弱/强先验、不同层级、LOO-CV、模拟校准</x:v>
      </x:c>
      <x:c r="K31" s="42" t="str">
        <x:v>PyMC; Stan; brms</x:v>
      </x:c>
      <x:c r="L31" s="42" t="str">
        <x:v>BAYES-01</x:v>
      </x:c>
      <x:c r="M31" s="43" t="str">
        <x:v>只报告后验均值，不做收敛与后验预测检查</x:v>
      </x:c>
    </x:row>
    <x:row r="32" ht="42" customHeight="1">
      <x:c r="A32" s="44" t="str">
        <x:v>M28</x:v>
      </x:c>
      <x:c r="B32" s="45" t="str">
        <x:v>复杂系统</x:v>
      </x:c>
      <x:c r="C32" s="45" t="str">
        <x:v>主体仿真/系统动力学</x:v>
      </x:c>
      <x:c r="D32" s="45" t="str">
        <x:v>探索与规范</x:v>
      </x:c>
      <x:c r="E32" s="45" t="str">
        <x:v>研究涌现、反馈、扩散和非线性政策效果</x:v>
      </x:c>
      <x:c r="F32" s="45" t="str">
        <x:v>规则、主体、网络、状态、校准目标</x:v>
      </x:c>
      <x:c r="G32" s="45" t="str">
        <x:v>规则有证据基础；宏观模式可校准；不确定性透明</x:v>
      </x:c>
      <x:c r="H32" s="45" t="str">
        <x:v>机制→主体规则→实现→验证→校准→实验→敏感性→模式解释</x:v>
      </x:c>
      <x:c r="I32" s="45" t="str">
        <x:v>代码验证、模式复现、参数不可辨识、随机性</x:v>
      </x:c>
      <x:c r="J32" s="45" t="str">
        <x:v>全局敏感性、替代规则、真实模式校准、重复实验</x:v>
      </x:c>
      <x:c r="K32" s="45" t="str">
        <x:v>Mesa; NetLogo; AnyLogic; SALib</x:v>
      </x:c>
      <x:c r="L32" s="45" t="str">
        <x:v>STO-03</x:v>
      </x:c>
      <x:c r="M32" s="46" t="str">
        <x:v>用仿真讲故事而不做校准、验证和敏感性分析</x:v>
      </x:c>
    </x:row>
  </x:sheetData>
  <x:mergeCells>
    <x:mergeCell ref="A1:M1"/>
    <x:mergeCell ref="A2:M2"/>
  </x:mergeCells>
  <x:pageMargins left="0.7" right="0.7" top="0.75" bottom="0.75" header="0.3" footer="0.3"/>
  <x:tableParts count="1">
    <x:tablePart xmlns:r="http://schemas.openxmlformats.org/officeDocument/2006/relationships" r:id="R282d25c3b395453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28" hidden="0" customWidth="1"/>
    <x:col min="4" max="4" width="18" hidden="0" customWidth="1"/>
    <x:col min="5" max="5" width="28" hidden="0" customWidth="1"/>
    <x:col min="6" max="6" width="16" hidden="0" customWidth="1"/>
    <x:col min="7" max="7" width="18" hidden="0" customWidth="1"/>
    <x:col min="8" max="8" width="40" hidden="0" customWidth="1"/>
    <x:col min="9" max="9" width="40" hidden="0" customWidth="1"/>
    <x:col min="10" max="10" width="48" hidden="0" customWidth="1"/>
    <x:col min="11" max="11" width="38" hidden="0" customWidth="1"/>
    <x:col min="12" max="12" width="16" hidden="0" customWidth="1"/>
  </x:cols>
  <x:sheetData>
    <x:row r="1" ht="30" customHeight="1">
      <x:c r="A1" s="3" t="str">
        <x:v>Common Data Source Library</x:v>
      </x:c>
      <x:c r="B1" s="3"/>
      <x:c r="C1" s="3"/>
      <x:c r="D1" s="3"/>
      <x:c r="E1" s="3"/>
      <x:c r="F1" s="3"/>
      <x:c r="G1" s="3"/>
      <x:c r="H1" s="3"/>
      <x:c r="I1" s="3"/>
      <x:c r="J1" s="3"/>
      <x:c r="K1" s="3"/>
      <x:c r="L1" s="3"/>
    </x:row>
    <x:row r="2" ht="30" customHeight="1">
      <x:c r="A2" s="7" t="str">
        <x:v>40 connector-planning cards. Access and license terms are dynamic: re-verify official terms before implementation. Priority is connector priority, not a quality score.</x:v>
      </x:c>
      <x:c r="B2" s="7"/>
      <x:c r="C2" s="7"/>
      <x:c r="D2" s="7"/>
      <x:c r="E2" s="7"/>
      <x:c r="F2" s="7"/>
      <x:c r="G2" s="7"/>
      <x:c r="H2" s="7"/>
      <x:c r="I2" s="7"/>
      <x:c r="J2" s="7"/>
      <x:c r="K2" s="7"/>
      <x:c r="L2" s="7"/>
    </x:row>
    <x:row r="4" ht="32" customHeight="1">
      <x:c r="A4" s="16" t="str">
        <x:v>ID</x:v>
      </x:c>
      <x:c r="B4" s="17" t="str">
        <x:v>Domain</x:v>
      </x:c>
      <x:c r="C4" s="17" t="str">
        <x:v>Source</x:v>
      </x:c>
      <x:c r="D4" s="17" t="str">
        <x:v>Geography</x:v>
      </x:c>
      <x:c r="E4" s="17" t="str">
        <x:v>Access</x:v>
      </x:c>
      <x:c r="F4" s="17" t="str">
        <x:v>Cost</x:v>
      </x:c>
      <x:c r="G4" s="17" t="str">
        <x:v>Interface</x:v>
      </x:c>
      <x:c r="H4" s="17" t="str">
        <x:v>Typical Data</x:v>
      </x:c>
      <x:c r="I4" s="17" t="str">
        <x:v>Common Use</x:v>
      </x:c>
      <x:c r="J4" s="17" t="str">
        <x:v>Compliance</x:v>
      </x:c>
      <x:c r="K4" s="17" t="str">
        <x:v>Official URL</x:v>
      </x:c>
      <x:c r="L4" s="18" t="str">
        <x:v>Connector Priority</x:v>
      </x:c>
    </x:row>
    <x:row r="5" ht="42" customHeight="1">
      <x:c r="A5" s="38" t="str">
        <x:v>D01</x:v>
      </x:c>
      <x:c r="B5" s="39" t="str">
        <x:v>文献元数据</x:v>
      </x:c>
      <x:c r="C5" s="39" t="str">
        <x:v>OpenAlex</x:v>
      </x:c>
      <x:c r="D5" s="39" t="str">
        <x:v>全球</x:v>
      </x:c>
      <x:c r="E5" s="39" t="str">
        <x:v>开放 API/快照</x:v>
      </x:c>
      <x:c r="F5" s="39" t="str">
        <x:v>免费；高级功能可能需 key</x:v>
      </x:c>
      <x:c r="G5" s="39" t="str">
        <x:v>REST/快照</x:v>
      </x:c>
      <x:c r="H5" s="39" t="str">
        <x:v>论文、作者、机构、期刊、主题、引用</x:v>
      </x:c>
      <x:c r="I5" s="39" t="str">
        <x:v>检索、引文网络、热点与作者机构分析</x:v>
      </x:c>
      <x:c r="J5" s="39" t="str">
        <x:v>记录检索日期；引用量是动态指标</x:v>
      </x:c>
      <x:c r="K5" s="39" t="str">
        <x:v>https://openalex.org/</x:v>
      </x:c>
      <x:c r="L5" s="40" t="str">
        <x:v>P0</x:v>
      </x:c>
    </x:row>
    <x:row r="6" ht="42" customHeight="1">
      <x:c r="A6" s="41" t="str">
        <x:v>D02</x:v>
      </x:c>
      <x:c r="B6" s="42" t="str">
        <x:v>文献元数据</x:v>
      </x:c>
      <x:c r="C6" s="42" t="str">
        <x:v>Crossref</x:v>
      </x:c>
      <x:c r="D6" s="42" t="str">
        <x:v>全球</x:v>
      </x:c>
      <x:c r="E6" s="42" t="str">
        <x:v>开放 API</x:v>
      </x:c>
      <x:c r="F6" s="42" t="str">
        <x:v>免费</x:v>
      </x:c>
      <x:c r="G6" s="42" t="str">
        <x:v>REST</x:v>
      </x:c>
      <x:c r="H6" s="42" t="str">
        <x:v>DOI、题名、作者、期刊、参考文献元数据</x:v>
      </x:c>
      <x:c r="I6" s="42" t="str">
        <x:v>DOI 核验、BibTeX、出版元数据补全</x:v>
      </x:c>
      <x:c r="J6" s="42" t="str">
        <x:v>遵守 polite pool；字段完整性依出版商</x:v>
      </x:c>
      <x:c r="K6" s="42" t="str">
        <x:v>https://www.crossref.org/</x:v>
      </x:c>
      <x:c r="L6" s="43" t="str">
        <x:v>P0</x:v>
      </x:c>
    </x:row>
    <x:row r="7" ht="42" customHeight="1">
      <x:c r="A7" s="41" t="str">
        <x:v>D03</x:v>
      </x:c>
      <x:c r="B7" s="42" t="str">
        <x:v>文献元数据</x:v>
      </x:c>
      <x:c r="C7" s="42" t="str">
        <x:v>Semantic Scholar</x:v>
      </x:c>
      <x:c r="D7" s="42" t="str">
        <x:v>全球</x:v>
      </x:c>
      <x:c r="E7" s="42" t="str">
        <x:v>API；有速率限制</x:v>
      </x:c>
      <x:c r="F7" s="42" t="str">
        <x:v>免费/申请 key</x:v>
      </x:c>
      <x:c r="G7" s="42" t="str">
        <x:v>REST</x:v>
      </x:c>
      <x:c r="H7" s="42" t="str">
        <x:v>论文、摘要、引用、嵌入、推荐</x:v>
      </x:c>
      <x:c r="I7" s="42" t="str">
        <x:v>语义检索、引用补全、相似论文</x:v>
      </x:c>
      <x:c r="J7" s="42" t="str">
        <x:v>记录语料覆盖与计数差异</x:v>
      </x:c>
      <x:c r="K7" s="42" t="str">
        <x:v>https://www.semanticscholar.org/product/api</x:v>
      </x:c>
      <x:c r="L7" s="43" t="str">
        <x:v>P0</x:v>
      </x:c>
    </x:row>
    <x:row r="8" ht="42" customHeight="1">
      <x:c r="A8" s="41" t="str">
        <x:v>D04</x:v>
      </x:c>
      <x:c r="B8" s="42" t="str">
        <x:v>文献全文</x:v>
      </x:c>
      <x:c r="C8" s="42" t="str">
        <x:v>arXiv</x:v>
      </x:c>
      <x:c r="D8" s="42" t="str">
        <x:v>全球</x:v>
      </x:c>
      <x:c r="E8" s="42" t="str">
        <x:v>开放 API/OAI</x:v>
      </x:c>
      <x:c r="F8" s="42" t="str">
        <x:v>免费</x:v>
      </x:c>
      <x:c r="G8" s="42" t="str">
        <x:v>Atom API/OAI-PMH</x:v>
      </x:c>
      <x:c r="H8" s="42" t="str">
        <x:v>预印本元数据与 PDF</x:v>
      </x:c>
      <x:c r="I8" s="42" t="str">
        <x:v>新兴主题、方法论文、版本追踪</x:v>
      </x:c>
      <x:c r="J8" s="42" t="str">
        <x:v>预印本不等同同行评审版本</x:v>
      </x:c>
      <x:c r="K8" s="42" t="str">
        <x:v>https://arxiv.org/</x:v>
      </x:c>
      <x:c r="L8" s="43" t="str">
        <x:v>P0</x:v>
      </x:c>
    </x:row>
    <x:row r="9" ht="42" customHeight="1">
      <x:c r="A9" s="41" t="str">
        <x:v>D05</x:v>
      </x:c>
      <x:c r="B9" s="42" t="str">
        <x:v>开放获取</x:v>
      </x:c>
      <x:c r="C9" s="42" t="str">
        <x:v>Unpaywall</x:v>
      </x:c>
      <x:c r="D9" s="42" t="str">
        <x:v>全球</x:v>
      </x:c>
      <x:c r="E9" s="42" t="str">
        <x:v>API/快照</x:v>
      </x:c>
      <x:c r="F9" s="42" t="str">
        <x:v>免费；需邮箱</x:v>
      </x:c>
      <x:c r="G9" s="42" t="str">
        <x:v>REST/快照</x:v>
      </x:c>
      <x:c r="H9" s="42" t="str">
        <x:v>DOI 对应 OA 状态与合法全文位置</x:v>
      </x:c>
      <x:c r="I9" s="42" t="str">
        <x:v>合法全文发现与 OA 覆盖</x:v>
      </x:c>
      <x:c r="J9" s="42" t="str">
        <x:v>只使用合法位置；遵守全文许可</x:v>
      </x:c>
      <x:c r="K9" s="42" t="str">
        <x:v>https://unpaywall.org/products/api</x:v>
      </x:c>
      <x:c r="L9" s="43" t="str">
        <x:v>P1</x:v>
      </x:c>
    </x:row>
    <x:row r="10" ht="42" customHeight="1">
      <x:c r="A10" s="41" t="str">
        <x:v>D06</x:v>
      </x:c>
      <x:c r="B10" s="42" t="str">
        <x:v>宏观经济</x:v>
      </x:c>
      <x:c r="C10" s="42" t="str">
        <x:v>World Bank Data</x:v>
      </x:c>
      <x:c r="D10" s="42" t="str">
        <x:v>全球</x:v>
      </x:c>
      <x:c r="E10" s="42" t="str">
        <x:v>开放</x:v>
      </x:c>
      <x:c r="F10" s="42" t="str">
        <x:v>免费</x:v>
      </x:c>
      <x:c r="G10" s="42" t="str">
        <x:v>API/下载</x:v>
      </x:c>
      <x:c r="H10" s="42" t="str">
        <x:v>发展、贸易、人口、营商、治理指标</x:v>
      </x:c>
      <x:c r="I10" s="42" t="str">
        <x:v>国家/地区面板、政策与发展研究</x:v>
      </x:c>
      <x:c r="J10" s="42" t="str">
        <x:v>核对指标定义、修订与可比性</x:v>
      </x:c>
      <x:c r="K10" s="42" t="str">
        <x:v>https://data.worldbank.org/</x:v>
      </x:c>
      <x:c r="L10" s="43" t="str">
        <x:v>P0</x:v>
      </x:c>
    </x:row>
    <x:row r="11" ht="42" customHeight="1">
      <x:c r="A11" s="41" t="str">
        <x:v>D07</x:v>
      </x:c>
      <x:c r="B11" s="42" t="str">
        <x:v>宏观经济</x:v>
      </x:c>
      <x:c r="C11" s="42" t="str">
        <x:v>IMF Data</x:v>
      </x:c>
      <x:c r="D11" s="42" t="str">
        <x:v>全球</x:v>
      </x:c>
      <x:c r="E11" s="42" t="str">
        <x:v>开放/注册</x:v>
      </x:c>
      <x:c r="F11" s="42" t="str">
        <x:v>多数免费</x:v>
      </x:c>
      <x:c r="G11" s="42" t="str">
        <x:v>API/下载</x:v>
      </x:c>
      <x:c r="H11" s="42" t="str">
        <x:v>金融、国际收支、财政、汇率</x:v>
      </x:c>
      <x:c r="I11" s="42" t="str">
        <x:v>宏观金融、国家风险、政策研究</x:v>
      </x:c>
      <x:c r="J11" s="42" t="str">
        <x:v>系列口径和修订频繁</x:v>
      </x:c>
      <x:c r="K11" s="42" t="str">
        <x:v>https://www.imf.org/en/Data</x:v>
      </x:c>
      <x:c r="L11" s="43" t="str">
        <x:v>P1</x:v>
      </x:c>
    </x:row>
    <x:row r="12" ht="42" customHeight="1">
      <x:c r="A12" s="41" t="str">
        <x:v>D08</x:v>
      </x:c>
      <x:c r="B12" s="42" t="str">
        <x:v>宏观经济</x:v>
      </x:c>
      <x:c r="C12" s="42" t="str">
        <x:v>OECD Data Explorer</x:v>
      </x:c>
      <x:c r="D12" s="42" t="str">
        <x:v>OECD及伙伴</x:v>
      </x:c>
      <x:c r="E12" s="42" t="str">
        <x:v>开放</x:v>
      </x:c>
      <x:c r="F12" s="42" t="str">
        <x:v>免费</x:v>
      </x:c>
      <x:c r="G12" s="42" t="str">
        <x:v>API/下载</x:v>
      </x:c>
      <x:c r="H12" s="42" t="str">
        <x:v>产业、生产率、创新、教育、TiVA</x:v>
      </x:c>
      <x:c r="I12" s="42" t="str">
        <x:v>跨国制度与产业比较</x:v>
      </x:c>
      <x:c r="J12" s="42" t="str">
        <x:v>版本、季调与国家可比性</x:v>
      </x:c>
      <x:c r="K12" s="42" t="str">
        <x:v>https://data-explorer.oecd.org/</x:v>
      </x:c>
      <x:c r="L12" s="43" t="str">
        <x:v>P1</x:v>
      </x:c>
    </x:row>
    <x:row r="13" ht="42" customHeight="1">
      <x:c r="A13" s="41" t="str">
        <x:v>D09</x:v>
      </x:c>
      <x:c r="B13" s="42" t="str">
        <x:v>贸易供应链</x:v>
      </x:c>
      <x:c r="C13" s="42" t="str">
        <x:v>UN Comtrade</x:v>
      </x:c>
      <x:c r="D13" s="42" t="str">
        <x:v>全球</x:v>
      </x:c>
      <x:c r="E13" s="42" t="str">
        <x:v>开放/订阅层</x:v>
      </x:c>
      <x:c r="F13" s="42" t="str">
        <x:v>免费额度 + 付费</x:v>
      </x:c>
      <x:c r="G13" s="42" t="str">
        <x:v>API/下载</x:v>
      </x:c>
      <x:c r="H13" s="42" t="str">
        <x:v>双边商品贸易、HS 编码、数量与价值</x:v>
      </x:c>
      <x:c r="I13" s="42" t="str">
        <x:v>贸易网络、供应链冲击、产业依赖</x:v>
      </x:c>
      <x:c r="J13" s="42" t="str">
        <x:v>HS 版本、镜像差异、再出口与缺失</x:v>
      </x:c>
      <x:c r="K13" s="42" t="str">
        <x:v>https://comtradeplus.un.org/</x:v>
      </x:c>
      <x:c r="L13" s="43" t="str">
        <x:v>P1</x:v>
      </x:c>
    </x:row>
    <x:row r="14" ht="42" customHeight="1">
      <x:c r="A14" s="41" t="str">
        <x:v>D10</x:v>
      </x:c>
      <x:c r="B14" s="42" t="str">
        <x:v>宏观金融</x:v>
      </x:c>
      <x:c r="C14" s="42" t="str">
        <x:v>FRED</x:v>
      </x:c>
      <x:c r="D14" s="42" t="str">
        <x:v>美国/全球系列</x:v>
      </x:c>
      <x:c r="E14" s="42" t="str">
        <x:v>开放 API</x:v>
      </x:c>
      <x:c r="F14" s="42" t="str">
        <x:v>免费；API key</x:v>
      </x:c>
      <x:c r="G14" s="42" t="str">
        <x:v>REST/下载</x:v>
      </x:c>
      <x:c r="H14" s="42" t="str">
        <x:v>利率、通胀、就业、金融与宏观时序</x:v>
      </x:c>
      <x:c r="I14" s="42" t="str">
        <x:v>事件研究控制、预测、宏观背景</x:v>
      </x:c>
      <x:c r="J14" s="42" t="str">
        <x:v>系列来源不同；记录 vintage</x:v>
      </x:c>
      <x:c r="K14" s="42" t="str">
        <x:v>https://fred.stlouisfed.org/</x:v>
      </x:c>
      <x:c r="L14" s="43" t="str">
        <x:v>P0</x:v>
      </x:c>
    </x:row>
    <x:row r="15" ht="42" customHeight="1">
      <x:c r="A15" s="41" t="str">
        <x:v>D11</x:v>
      </x:c>
      <x:c r="B15" s="42" t="str">
        <x:v>美国企业与披露</x:v>
      </x:c>
      <x:c r="C15" s="42" t="str">
        <x:v>SEC EDGAR</x:v>
      </x:c>
      <x:c r="D15" s="42" t="str">
        <x:v>美国</x:v>
      </x:c>
      <x:c r="E15" s="42" t="str">
        <x:v>开放</x:v>
      </x:c>
      <x:c r="F15" s="42" t="str">
        <x:v>免费</x:v>
      </x:c>
      <x:c r="G15" s="42" t="str">
        <x:v>REST/文件</x:v>
      </x:c>
      <x:c r="H15" s="42" t="str">
        <x:v>10-K/10-Q/8-K/XBRL、公司事实</x:v>
      </x:c>
      <x:c r="I15" s="42" t="str">
        <x:v>公司披露、文本、财务与事件</x:v>
      </x:c>
      <x:c r="J15" s="42" t="str">
        <x:v>必须遵守 SEC fair-access 速率和 UA</x:v>
      </x:c>
      <x:c r="K15" s="42" t="str">
        <x:v>https://www.sec.gov/edgar/sec-api-documentation</x:v>
      </x:c>
      <x:c r="L15" s="43" t="str">
        <x:v>P0</x:v>
      </x:c>
    </x:row>
    <x:row r="16" ht="42" customHeight="1">
      <x:c r="A16" s="41" t="str">
        <x:v>D12</x:v>
      </x:c>
      <x:c r="B16" s="42" t="str">
        <x:v>美国劳动力</x:v>
      </x:c>
      <x:c r="C16" s="42" t="str">
        <x:v>BLS Public Data</x:v>
      </x:c>
      <x:c r="D16" s="42" t="str">
        <x:v>美国</x:v>
      </x:c>
      <x:c r="E16" s="42" t="str">
        <x:v>开放 API</x:v>
      </x:c>
      <x:c r="F16" s="42" t="str">
        <x:v>免费</x:v>
      </x:c>
      <x:c r="G16" s="42" t="str">
        <x:v>REST/下载</x:v>
      </x:c>
      <x:c r="H16" s="42" t="str">
        <x:v>就业、工资、价格、生产率</x:v>
      </x:c>
      <x:c r="I16" s="42" t="str">
        <x:v>劳动力与产业面板、宏观控制</x:v>
      </x:c>
      <x:c r="J16" s="42" t="str">
        <x:v>系列代码、季调与修订</x:v>
      </x:c>
      <x:c r="K16" s="42" t="str">
        <x:v>https://www.bls.gov/developers/</x:v>
      </x:c>
      <x:c r="L16" s="43" t="str">
        <x:v>P1</x:v>
      </x:c>
    </x:row>
    <x:row r="17" ht="42" customHeight="1">
      <x:c r="A17" s="41" t="str">
        <x:v>D13</x:v>
      </x:c>
      <x:c r="B17" s="42" t="str">
        <x:v>美国人口企业</x:v>
      </x:c>
      <x:c r="C17" s="42" t="str">
        <x:v>U.S. Census / ACS</x:v>
      </x:c>
      <x:c r="D17" s="42" t="str">
        <x:v>美国</x:v>
      </x:c>
      <x:c r="E17" s="42" t="str">
        <x:v>开放 API</x:v>
      </x:c>
      <x:c r="F17" s="42" t="str">
        <x:v>免费；key 推荐</x:v>
      </x:c>
      <x:c r="G17" s="42" t="str">
        <x:v>REST/下载</x:v>
      </x:c>
      <x:c r="H17" s="42" t="str">
        <x:v>人口、住房、企业动态、贸易</x:v>
      </x:c>
      <x:c r="I17" s="42" t="str">
        <x:v>地区面板、市场规模、政策评估</x:v>
      </x:c>
      <x:c r="J17" s="42" t="str">
        <x:v>地理边界、抽样误差与 disclosure rules</x:v>
      </x:c>
      <x:c r="K17" s="42" t="str">
        <x:v>https://www.census.gov/data/developers.html</x:v>
      </x:c>
      <x:c r="L17" s="43" t="str">
        <x:v>P1</x:v>
      </x:c>
    </x:row>
    <x:row r="18" ht="42" customHeight="1">
      <x:c r="A18" s="41" t="str">
        <x:v>D14</x:v>
      </x:c>
      <x:c r="B18" s="42" t="str">
        <x:v>中国宏观</x:v>
      </x:c>
      <x:c r="C18" s="42" t="str">
        <x:v>国家统计局国家数据</x:v>
      </x:c>
      <x:c r="D18" s="42" t="str">
        <x:v>中国</x:v>
      </x:c>
      <x:c r="E18" s="42" t="str">
        <x:v>公开查询</x:v>
      </x:c>
      <x:c r="F18" s="42" t="str">
        <x:v>免费</x:v>
      </x:c>
      <x:c r="G18" s="42" t="str">
        <x:v>网页/下载</x:v>
      </x:c>
      <x:c r="H18" s="42" t="str">
        <x:v>国民经济、人口、工业、地区指标</x:v>
      </x:c>
      <x:c r="I18" s="42" t="str">
        <x:v>省市面板、产业与政策背景</x:v>
      </x:c>
      <x:c r="J18" s="42" t="str">
        <x:v>接口稳定性与口径变更需人工核验</x:v>
      </x:c>
      <x:c r="K18" s="42" t="str">
        <x:v>https://data.stats.gov.cn/</x:v>
      </x:c>
      <x:c r="L18" s="43" t="str">
        <x:v>P1</x:v>
      </x:c>
    </x:row>
    <x:row r="19" ht="42" customHeight="1">
      <x:c r="A19" s="41" t="str">
        <x:v>D15</x:v>
      </x:c>
      <x:c r="B19" s="42" t="str">
        <x:v>中国金融企业</x:v>
      </x:c>
      <x:c r="C19" s="42" t="str">
        <x:v>CSMAR 国泰安</x:v>
      </x:c>
      <x:c r="D19" s="42" t="str">
        <x:v>中国</x:v>
      </x:c>
      <x:c r="E19" s="42" t="str">
        <x:v>机构订阅</x:v>
      </x:c>
      <x:c r="F19" s="42" t="str">
        <x:v>付费</x:v>
      </x:c>
      <x:c r="G19" s="42" t="str">
        <x:v>下载/API视授权</x:v>
      </x:c>
      <x:c r="H19" s="42" t="str">
        <x:v>上市公司、证券、治理、分析师、事件</x:v>
      </x:c>
      <x:c r="I19" s="42" t="str">
        <x:v>公司金融、会计、治理与市场研究</x:v>
      </x:c>
      <x:c r="J19" s="42" t="str">
        <x:v>严格遵守机构许可，不可公开再分发</x:v>
      </x:c>
      <x:c r="K19" s="42" t="str">
        <x:v>https://www.gtarsc.com/</x:v>
      </x:c>
      <x:c r="L19" s="43" t="str">
        <x:v>P1</x:v>
      </x:c>
    </x:row>
    <x:row r="20" ht="42" customHeight="1">
      <x:c r="A20" s="41" t="str">
        <x:v>D16</x:v>
      </x:c>
      <x:c r="B20" s="42" t="str">
        <x:v>中国金融企业</x:v>
      </x:c>
      <x:c r="C20" s="42" t="str">
        <x:v>CNRDS</x:v>
      </x:c>
      <x:c r="D20" s="42" t="str">
        <x:v>中国</x:v>
      </x:c>
      <x:c r="E20" s="42" t="str">
        <x:v>机构订阅</x:v>
      </x:c>
      <x:c r="F20" s="42" t="str">
        <x:v>付费</x:v>
      </x:c>
      <x:c r="G20" s="42" t="str">
        <x:v>下载</x:v>
      </x:c>
      <x:c r="H20" s="42" t="str">
        <x:v>上市公司、治理、专利、供应链、文本</x:v>
      </x:c>
      <x:c r="I20" s="42" t="str">
        <x:v>公司与创新、供应链、ESG研究</x:v>
      </x:c>
      <x:c r="J20" s="42" t="str">
        <x:v>许可与变量定义需逐库核对</x:v>
      </x:c>
      <x:c r="K20" s="42" t="str">
        <x:v>https://www.cnrds.com/</x:v>
      </x:c>
      <x:c r="L20" s="43" t="str">
        <x:v>P1</x:v>
      </x:c>
    </x:row>
    <x:row r="21" ht="42" customHeight="1">
      <x:c r="A21" s="41" t="str">
        <x:v>D17</x:v>
      </x:c>
      <x:c r="B21" s="42" t="str">
        <x:v>中国金融宏观</x:v>
      </x:c>
      <x:c r="C21" s="42" t="str">
        <x:v>Wind</x:v>
      </x:c>
      <x:c r="D21" s="42" t="str">
        <x:v>中国/全球</x:v>
      </x:c>
      <x:c r="E21" s="42" t="str">
        <x:v>终端/机构授权</x:v>
      </x:c>
      <x:c r="F21" s="42" t="str">
        <x:v>付费</x:v>
      </x:c>
      <x:c r="G21" s="42" t="str">
        <x:v>终端/API</x:v>
      </x:c>
      <x:c r="H21" s="42" t="str">
        <x:v>证券、公司、基金、宏观、行业</x:v>
      </x:c>
      <x:c r="I21" s="42" t="str">
        <x:v>金融与企业面板、事件研究</x:v>
      </x:c>
      <x:c r="J21" s="42" t="str">
        <x:v>不得把授权数据上传外部模型或再分发</x:v>
      </x:c>
      <x:c r="K21" s="42" t="str">
        <x:v>https://www.wind.com.cn/</x:v>
      </x:c>
      <x:c r="L21" s="43" t="str">
        <x:v>P2</x:v>
      </x:c>
    </x:row>
    <x:row r="22" ht="42" customHeight="1">
      <x:c r="A22" s="41" t="str">
        <x:v>D18</x:v>
      </x:c>
      <x:c r="B22" s="42" t="str">
        <x:v>中国调查</x:v>
      </x:c>
      <x:c r="C22" s="42" t="str">
        <x:v>CFPS 中国家庭追踪调查</x:v>
      </x:c>
      <x:c r="D22" s="42" t="str">
        <x:v>中国</x:v>
      </x:c>
      <x:c r="E22" s="42" t="str">
        <x:v>注册申请</x:v>
      </x:c>
      <x:c r="F22" s="42" t="str">
        <x:v>研究用途免费</x:v>
      </x:c>
      <x:c r="G22" s="42" t="str">
        <x:v>下载</x:v>
      </x:c>
      <x:c r="H22" s="42" t="str">
        <x:v>个人、家庭、教育、就业、收入、健康</x:v>
      </x:c>
      <x:c r="I22" s="42" t="str">
        <x:v>家庭行为、劳动力与社会政策</x:v>
      </x:c>
      <x:c r="J22" s="42" t="str">
        <x:v>伦理审批、去标识、引用与申请条款</x:v>
      </x:c>
      <x:c r="K22" s="42" t="str">
        <x:v>https://www.isss.pku.edu.cn/cfps/</x:v>
      </x:c>
      <x:c r="L22" s="43" t="str">
        <x:v>P1</x:v>
      </x:c>
    </x:row>
    <x:row r="23" ht="42" customHeight="1">
      <x:c r="A23" s="41" t="str">
        <x:v>D19</x:v>
      </x:c>
      <x:c r="B23" s="42" t="str">
        <x:v>中国调查</x:v>
      </x:c>
      <x:c r="C23" s="42" t="str">
        <x:v>CGSS 中国综合社会调查</x:v>
      </x:c>
      <x:c r="D23" s="42" t="str">
        <x:v>中国</x:v>
      </x:c>
      <x:c r="E23" s="42" t="str">
        <x:v>注册申请</x:v>
      </x:c>
      <x:c r="F23" s="42" t="str">
        <x:v>研究用途免费</x:v>
      </x:c>
      <x:c r="G23" s="42" t="str">
        <x:v>下载</x:v>
      </x:c>
      <x:c r="H23" s="42" t="str">
        <x:v>社会态度、行为、职业、家庭</x:v>
      </x:c>
      <x:c r="I23" s="42" t="str">
        <x:v>组织行为、制度信任、消费与社会研究</x:v>
      </x:c>
      <x:c r="J23" s="42" t="str">
        <x:v>权重、抽样设计与使用协议</x:v>
      </x:c>
      <x:c r="K23" s="42" t="str">
        <x:v>http://cgss.ruc.edu.cn/</x:v>
      </x:c>
      <x:c r="L23" s="43" t="str">
        <x:v>P2</x:v>
      </x:c>
    </x:row>
    <x:row r="24" ht="42" customHeight="1">
      <x:c r="A24" s="41" t="str">
        <x:v>D20</x:v>
      </x:c>
      <x:c r="B24" s="42" t="str">
        <x:v>中国调查</x:v>
      </x:c>
      <x:c r="C24" s="42" t="str">
        <x:v>CHARLS</x:v>
      </x:c>
      <x:c r="D24" s="42" t="str">
        <x:v>中国</x:v>
      </x:c>
      <x:c r="E24" s="42" t="str">
        <x:v>注册申请</x:v>
      </x:c>
      <x:c r="F24" s="42" t="str">
        <x:v>研究用途免费</x:v>
      </x:c>
      <x:c r="G24" s="42" t="str">
        <x:v>下载</x:v>
      </x:c>
      <x:c r="H24" s="42" t="str">
        <x:v>中老年健康、家庭、劳动、养老</x:v>
      </x:c>
      <x:c r="I24" s="42" t="str">
        <x:v>医疗服务运营、劳动与老龄化</x:v>
      </x:c>
      <x:c r="J24" s="42" t="str">
        <x:v>伦理与敏感变量保护</x:v>
      </x:c>
      <x:c r="K24" s="42" t="str">
        <x:v>https://charls.charlsdata.com/</x:v>
      </x:c>
      <x:c r="L24" s="43" t="str">
        <x:v>P2</x:v>
      </x:c>
    </x:row>
    <x:row r="25" ht="42" customHeight="1">
      <x:c r="A25" s="41" t="str">
        <x:v>D21</x:v>
      </x:c>
      <x:c r="B25" s="42" t="str">
        <x:v>金融研究</x:v>
      </x:c>
      <x:c r="C25" s="42" t="str">
        <x:v>WRDS</x:v>
      </x:c>
      <x:c r="D25" s="42" t="str">
        <x:v>全球/美国为主</x:v>
      </x:c>
      <x:c r="E25" s="42" t="str">
        <x:v>机构订阅</x:v>
      </x:c>
      <x:c r="F25" s="42" t="str">
        <x:v>付费</x:v>
      </x:c>
      <x:c r="G25" s="42" t="str">
        <x:v>SQL/Python/R/SAS</x:v>
      </x:c>
      <x:c r="H25" s="42" t="str">
        <x:v>CRSP、Compustat、IBES、TAQ等统一入口</x:v>
      </x:c>
      <x:c r="I25" s="42" t="str">
        <x:v>资产定价、公司金融、市场微观结构</x:v>
      </x:c>
      <x:c r="J25" s="42" t="str">
        <x:v>子库许可独立；不得再分发</x:v>
      </x:c>
      <x:c r="K25" s="42" t="str">
        <x:v>https://wrds-www.wharton.upenn.edu/</x:v>
      </x:c>
      <x:c r="L25" s="43" t="str">
        <x:v>P1</x:v>
      </x:c>
    </x:row>
    <x:row r="26" ht="42" customHeight="1">
      <x:c r="A26" s="41" t="str">
        <x:v>D22</x:v>
      </x:c>
      <x:c r="B26" s="42" t="str">
        <x:v>企业数据库</x:v>
      </x:c>
      <x:c r="C26" s="42" t="str">
        <x:v>Orbis</x:v>
      </x:c>
      <x:c r="D26" s="42" t="str">
        <x:v>全球</x:v>
      </x:c>
      <x:c r="E26" s="42" t="str">
        <x:v>机构订阅</x:v>
      </x:c>
      <x:c r="F26" s="42" t="str">
        <x:v>付费</x:v>
      </x:c>
      <x:c r="G26" s="42" t="str">
        <x:v>平台/下载</x:v>
      </x:c>
      <x:c r="H26" s="42" t="str">
        <x:v>私营与上市企业、所有权、财务、关联关系</x:v>
      </x:c>
      <x:c r="I26" s="42" t="str">
        <x:v>企业网络、国际化、供应链与治理</x:v>
      </x:c>
      <x:c r="J26" s="42" t="str">
        <x:v>匹配与覆盖偏差；严格许可</x:v>
      </x:c>
      <x:c r="K26" s="42" t="str">
        <x:v>https://www.bvdinfo.com/en-gb/our-products/data/international/orbis</x:v>
      </x:c>
      <x:c r="L26" s="43" t="str">
        <x:v>P2</x:v>
      </x:c>
    </x:row>
    <x:row r="27" ht="42" customHeight="1">
      <x:c r="A27" s="41" t="str">
        <x:v>D23</x:v>
      </x:c>
      <x:c r="B27" s="42" t="str">
        <x:v>企业金融</x:v>
      </x:c>
      <x:c r="C27" s="42" t="str">
        <x:v>S&amp;P Capital IQ / Compustat</x:v>
      </x:c>
      <x:c r="D27" s="42" t="str">
        <x:v>全球</x:v>
      </x:c>
      <x:c r="E27" s="42" t="str">
        <x:v>机构订阅</x:v>
      </x:c>
      <x:c r="F27" s="42" t="str">
        <x:v>付费</x:v>
      </x:c>
      <x:c r="G27" s="42" t="str">
        <x:v>平台/API</x:v>
      </x:c>
      <x:c r="H27" s="42" t="str">
        <x:v>公司财务、交易、估值、证券、行业</x:v>
      </x:c>
      <x:c r="I27" s="42" t="str">
        <x:v>公司面板、并购、资本市场</x:v>
      </x:c>
      <x:c r="J27" s="42" t="str">
        <x:v>许可、实体匹配与存活偏差</x:v>
      </x:c>
      <x:c r="K27" s="42" t="str">
        <x:v>https://www.spglobal.com/marketintelligence/</x:v>
      </x:c>
      <x:c r="L27" s="43" t="str">
        <x:v>P2</x:v>
      </x:c>
    </x:row>
    <x:row r="28" ht="42" customHeight="1">
      <x:c r="A28" s="41" t="str">
        <x:v>D24</x:v>
      </x:c>
      <x:c r="B28" s="42" t="str">
        <x:v>金融新闻</x:v>
      </x:c>
      <x:c r="C28" s="42" t="str">
        <x:v>LSEG Data &amp; Analytics</x:v>
      </x:c>
      <x:c r="D28" s="42" t="str">
        <x:v>全球</x:v>
      </x:c>
      <x:c r="E28" s="42" t="str">
        <x:v>机构订阅</x:v>
      </x:c>
      <x:c r="F28" s="42" t="str">
        <x:v>付费</x:v>
      </x:c>
      <x:c r="G28" s="42" t="str">
        <x:v>Workspace/API</x:v>
      </x:c>
      <x:c r="H28" s="42" t="str">
        <x:v>市场、公司、新闻、ESG、分析师</x:v>
      </x:c>
      <x:c r="I28" s="42" t="str">
        <x:v>事件、文本、金融与ESG</x:v>
      </x:c>
      <x:c r="J28" s="42" t="str">
        <x:v>新闻与数据授权限制严格</x:v>
      </x:c>
      <x:c r="K28" s="42" t="str">
        <x:v>https://www.lseg.com/en/data-analytics</x:v>
      </x:c>
      <x:c r="L28" s="43" t="str">
        <x:v>P2</x:v>
      </x:c>
    </x:row>
    <x:row r="29" ht="42" customHeight="1">
      <x:c r="A29" s="41" t="str">
        <x:v>D25</x:v>
      </x:c>
      <x:c r="B29" s="42" t="str">
        <x:v>新闻事件</x:v>
      </x:c>
      <x:c r="C29" s="42" t="str">
        <x:v>GDELT</x:v>
      </x:c>
      <x:c r="D29" s="42" t="str">
        <x:v>全球</x:v>
      </x:c>
      <x:c r="E29" s="42" t="str">
        <x:v>开放</x:v>
      </x:c>
      <x:c r="F29" s="42" t="str">
        <x:v>免费</x:v>
      </x:c>
      <x:c r="G29" s="42" t="str">
        <x:v>BigQuery/API/文件</x:v>
      </x:c>
      <x:c r="H29" s="42" t="str">
        <x:v>全球新闻、事件、语调、实体</x:v>
      </x:c>
      <x:c r="I29" s="42" t="str">
        <x:v>事件检测、媒体关注、地缘风险</x:v>
      </x:c>
      <x:c r="J29" s="42" t="str">
        <x:v>自动编码噪声、媒体覆盖偏差</x:v>
      </x:c>
      <x:c r="K29" s="42" t="str">
        <x:v>https://www.gdeltproject.org/</x:v>
      </x:c>
      <x:c r="L29" s="43" t="str">
        <x:v>P1</x:v>
      </x:c>
    </x:row>
    <x:row r="30" ht="42" customHeight="1">
      <x:c r="A30" s="41" t="str">
        <x:v>D26</x:v>
      </x:c>
      <x:c r="B30" s="42" t="str">
        <x:v>网页语料</x:v>
      </x:c>
      <x:c r="C30" s="42" t="str">
        <x:v>Common Crawl</x:v>
      </x:c>
      <x:c r="D30" s="42" t="str">
        <x:v>全球</x:v>
      </x:c>
      <x:c r="E30" s="42" t="str">
        <x:v>开放</x:v>
      </x:c>
      <x:c r="F30" s="42" t="str">
        <x:v>免费（计算有成本）</x:v>
      </x:c>
      <x:c r="G30" s="42" t="str">
        <x:v>S3/索引</x:v>
      </x:c>
      <x:c r="H30" s="42" t="str">
        <x:v>网页抓取、WARC、链接与文本</x:v>
      </x:c>
      <x:c r="I30" s="42" t="str">
        <x:v>大规模网页、企业与产品文本</x:v>
      </x:c>
      <x:c r="J30" s="42" t="str">
        <x:v>robots/版权/隐私与去重；只处理合规内容</x:v>
      </x:c>
      <x:c r="K30" s="42" t="str">
        <x:v>https://commoncrawl.org/</x:v>
      </x:c>
      <x:c r="L30" s="43" t="str">
        <x:v>P2</x:v>
      </x:c>
    </x:row>
    <x:row r="31" ht="42" customHeight="1">
      <x:c r="A31" s="41" t="str">
        <x:v>D27</x:v>
      </x:c>
      <x:c r="B31" s="42" t="str">
        <x:v>软件与协作</x:v>
      </x:c>
      <x:c r="C31" s="42" t="str">
        <x:v>GitHub Archive</x:v>
      </x:c>
      <x:c r="D31" s="42" t="str">
        <x:v>全球</x:v>
      </x:c>
      <x:c r="E31" s="42" t="str">
        <x:v>开放事件流</x:v>
      </x:c>
      <x:c r="F31" s="42" t="str">
        <x:v>免费</x:v>
      </x:c>
      <x:c r="G31" s="42" t="str">
        <x:v>BigQuery/文件</x:v>
      </x:c>
      <x:c r="H31" s="42" t="str">
        <x:v>公开 GitHub 事件</x:v>
      </x:c>
      <x:c r="I31" s="42" t="str">
        <x:v>开源协作、创新、开发者行为</x:v>
      </x:c>
      <x:c r="J31" s="42" t="str">
        <x:v>仅公开事件；账号去标识与平台条款</x:v>
      </x:c>
      <x:c r="K31" s="42" t="str">
        <x:v>https://www.gharchive.org/</x:v>
      </x:c>
      <x:c r="L31" s="43" t="str">
        <x:v>P1</x:v>
      </x:c>
    </x:row>
    <x:row r="32" ht="42" customHeight="1">
      <x:c r="A32" s="41" t="str">
        <x:v>D28</x:v>
      </x:c>
      <x:c r="B32" s="42" t="str">
        <x:v>知识社区</x:v>
      </x:c>
      <x:c r="C32" s="42" t="str">
        <x:v>Stack Exchange Data Dump / SEDE</x:v>
      </x:c>
      <x:c r="D32" s="42" t="str">
        <x:v>全球</x:v>
      </x:c>
      <x:c r="E32" s="42" t="str">
        <x:v>开放</x:v>
      </x:c>
      <x:c r="F32" s="42" t="str">
        <x:v>免费</x:v>
      </x:c>
      <x:c r="G32" s="42" t="str">
        <x:v>SQL/下载</x:v>
      </x:c>
      <x:c r="H32" s="42" t="str">
        <x:v>问答、标签、投票、用户与时间</x:v>
      </x:c>
      <x:c r="I32" s="42" t="str">
        <x:v>知识生产、社区、技术扩散</x:v>
      </x:c>
      <x:c r="J32" s="42" t="str">
        <x:v>遵守 CC BY-SA 与去标识原则</x:v>
      </x:c>
      <x:c r="K32" s="42" t="str">
        <x:v>https://data.stackexchange.com/</x:v>
      </x:c>
      <x:c r="L32" s="43" t="str">
        <x:v>P1</x:v>
      </x:c>
    </x:row>
    <x:row r="33" ht="42" customHeight="1">
      <x:c r="A33" s="41" t="str">
        <x:v>D29</x:v>
      </x:c>
      <x:c r="B33" s="42" t="str">
        <x:v>消费与服务</x:v>
      </x:c>
      <x:c r="C33" s="42" t="str">
        <x:v>Yelp Open Dataset</x:v>
      </x:c>
      <x:c r="D33" s="42" t="str">
        <x:v>指定城市/商户</x:v>
      </x:c>
      <x:c r="E33" s="42" t="str">
        <x:v>开放研究数据</x:v>
      </x:c>
      <x:c r="F33" s="42" t="str">
        <x:v>免费</x:v>
      </x:c>
      <x:c r="G33" s="42" t="str">
        <x:v>JSON</x:v>
      </x:c>
      <x:c r="H33" s="42" t="str">
        <x:v>评论、评分、商户、用户、签到</x:v>
      </x:c>
      <x:c r="I33" s="42" t="str">
        <x:v>推荐、服务运营、文本与网络</x:v>
      </x:c>
      <x:c r="J33" s="42" t="str">
        <x:v>只按数据集许可使用；不外推到总体</x:v>
      </x:c>
      <x:c r="K33" s="42" t="str">
        <x:v>https://business.yelp.com/data/resources/open-dataset/</x:v>
      </x:c>
      <x:c r="L33" s="43" t="str">
        <x:v>P1</x:v>
      </x:c>
    </x:row>
    <x:row r="34" ht="42" customHeight="1">
      <x:c r="A34" s="41" t="str">
        <x:v>D30</x:v>
      </x:c>
      <x:c r="B34" s="42" t="str">
        <x:v>趋势关注</x:v>
      </x:c>
      <x:c r="C34" s="42" t="str">
        <x:v>Google Trends</x:v>
      </x:c>
      <x:c r="D34" s="42" t="str">
        <x:v>全球</x:v>
      </x:c>
      <x:c r="E34" s="42" t="str">
        <x:v>公开界面</x:v>
      </x:c>
      <x:c r="F34" s="42" t="str">
        <x:v>免费</x:v>
      </x:c>
      <x:c r="G34" s="42" t="str">
        <x:v>网页/非正式接口</x:v>
      </x:c>
      <x:c r="H34" s="42" t="str">
        <x:v>相对搜索兴趣</x:v>
      </x:c>
      <x:c r="I34" s="42" t="str">
        <x:v>关注度、需求先行指标、事件反应</x:v>
      </x:c>
      <x:c r="J34" s="42" t="str">
        <x:v>抽样与归一化；接口与服务条款风险</x:v>
      </x:c>
      <x:c r="K34" s="42" t="str">
        <x:v>https://trends.google.com/trends/</x:v>
      </x:c>
      <x:c r="L34" s="43" t="str">
        <x:v>P2</x:v>
      </x:c>
    </x:row>
    <x:row r="35" ht="42" customHeight="1">
      <x:c r="A35" s="41" t="str">
        <x:v>D31</x:v>
      </x:c>
      <x:c r="B35" s="42" t="str">
        <x:v>交通出行</x:v>
      </x:c>
      <x:c r="C35" s="42" t="str">
        <x:v>NYC TLC Trip Record Data</x:v>
      </x:c>
      <x:c r="D35" s="42" t="str">
        <x:v>纽约市</x:v>
      </x:c>
      <x:c r="E35" s="42" t="str">
        <x:v>开放</x:v>
      </x:c>
      <x:c r="F35" s="42" t="str">
        <x:v>免费</x:v>
      </x:c>
      <x:c r="G35" s="42" t="str">
        <x:v>Parquet/CSV</x:v>
      </x:c>
      <x:c r="H35" s="42" t="str">
        <x:v>出租车/网约车行程、时间、费用、区域</x:v>
      </x:c>
      <x:c r="I35" s="42" t="str">
        <x:v>需求预测、定价、匹配、交通政策</x:v>
      </x:c>
      <x:c r="J35" s="42" t="str">
        <x:v>地理/时间口径、异常与隐私聚合</x:v>
      </x:c>
      <x:c r="K35" s="42" t="str">
        <x:v>https://www.nyc.gov/site/tlc/about/tlc-trip-record-data.page</x:v>
      </x:c>
      <x:c r="L35" s="43" t="str">
        <x:v>P0</x:v>
      </x:c>
    </x:row>
    <x:row r="36" ht="42" customHeight="1">
      <x:c r="A36" s="41" t="str">
        <x:v>D32</x:v>
      </x:c>
      <x:c r="B36" s="42" t="str">
        <x:v>交通流</x:v>
      </x:c>
      <x:c r="C36" s="42" t="str">
        <x:v>Caltrans PeMS</x:v>
      </x:c>
      <x:c r="D36" s="42" t="str">
        <x:v>加州</x:v>
      </x:c>
      <x:c r="E36" s="42" t="str">
        <x:v>注册/开放</x:v>
      </x:c>
      <x:c r="F36" s="42" t="str">
        <x:v>免费</x:v>
      </x:c>
      <x:c r="G36" s="42" t="str">
        <x:v>下载/API工具</x:v>
      </x:c>
      <x:c r="H36" s="42" t="str">
        <x:v>高速路检测器流量、速度、占有率</x:v>
      </x:c>
      <x:c r="I36" s="42" t="str">
        <x:v>交通预测、拥堵与控制</x:v>
      </x:c>
      <x:c r="J36" s="42" t="str">
        <x:v>传感器缺失、漂移、站点变更</x:v>
      </x:c>
      <x:c r="K36" s="42" t="str">
        <x:v>https://pems.dot.ca.gov/</x:v>
      </x:c>
      <x:c r="L36" s="43" t="str">
        <x:v>P1</x:v>
      </x:c>
    </x:row>
    <x:row r="37" ht="42" customHeight="1">
      <x:c r="A37" s="41" t="str">
        <x:v>D33</x:v>
      </x:c>
      <x:c r="B37" s="42" t="str">
        <x:v>地理网络</x:v>
      </x:c>
      <x:c r="C37" s="42" t="str">
        <x:v>OpenStreetMap</x:v>
      </x:c>
      <x:c r="D37" s="42" t="str">
        <x:v>全球</x:v>
      </x:c>
      <x:c r="E37" s="42" t="str">
        <x:v>开放数据库</x:v>
      </x:c>
      <x:c r="F37" s="42" t="str">
        <x:v>免费</x:v>
      </x:c>
      <x:c r="G37" s="42" t="str">
        <x:v>Overpass/Planet/PBF</x:v>
      </x:c>
      <x:c r="H37" s="42" t="str">
        <x:v>道路、POI、建筑与关系</x:v>
      </x:c>
      <x:c r="I37" s="42" t="str">
        <x:v>选址、网络、物流与城市研究</x:v>
      </x:c>
      <x:c r="J37" s="42" t="str">
        <x:v>ODbL 署名/同许可；区域质量差异</x:v>
      </x:c>
      <x:c r="K37" s="42" t="str">
        <x:v>https://www.openstreetmap.org/</x:v>
      </x:c>
      <x:c r="L37" s="43" t="str">
        <x:v>P0</x:v>
      </x:c>
    </x:row>
    <x:row r="38" ht="42" customHeight="1">
      <x:c r="A38" s="41" t="str">
        <x:v>D34</x:v>
      </x:c>
      <x:c r="B38" s="42" t="str">
        <x:v>公共交通</x:v>
      </x:c>
      <x:c r="C38" s="42" t="str">
        <x:v>GTFS / MobilityData</x:v>
      </x:c>
      <x:c r="D38" s="42" t="str">
        <x:v>全球各城市</x:v>
      </x:c>
      <x:c r="E38" s="42" t="str">
        <x:v>开放程度依发布者</x:v>
      </x:c>
      <x:c r="F38" s="42" t="str">
        <x:v>通常免费</x:v>
      </x:c>
      <x:c r="G38" s="42" t="str">
        <x:v>ZIP/静态与实时</x:v>
      </x:c>
      <x:c r="H38" s="42" t="str">
        <x:v>站点、班次、线路、实时车辆</x:v>
      </x:c>
      <x:c r="I38" s="42" t="str">
        <x:v>公共交通可达性、可靠性与调度</x:v>
      </x:c>
      <x:c r="J38" s="42" t="str">
        <x:v>各运营者许可和覆盖不同</x:v>
      </x:c>
      <x:c r="K38" s="42" t="str">
        <x:v>https://gtfs.org/</x:v>
      </x:c>
      <x:c r="L38" s="43" t="str">
        <x:v>P1</x:v>
      </x:c>
    </x:row>
    <x:row r="39" ht="42" customHeight="1">
      <x:c r="A39" s="41" t="str">
        <x:v>D35</x:v>
      </x:c>
      <x:c r="B39" s="42" t="str">
        <x:v>能源</x:v>
      </x:c>
      <x:c r="C39" s="42" t="str">
        <x:v>U.S. EIA Open Data</x:v>
      </x:c>
      <x:c r="D39" s="42" t="str">
        <x:v>美国/国际部分</x:v>
      </x:c>
      <x:c r="E39" s="42" t="str">
        <x:v>开放 API</x:v>
      </x:c>
      <x:c r="F39" s="42" t="str">
        <x:v>免费；key</x:v>
      </x:c>
      <x:c r="G39" s="42" t="str">
        <x:v>REST/下载</x:v>
      </x:c>
      <x:c r="H39" s="42" t="str">
        <x:v>电力、石油、天然气、价格与容量</x:v>
      </x:c>
      <x:c r="I39" s="42" t="str">
        <x:v>能源运营、市场、政策与碳研究</x:v>
      </x:c>
      <x:c r="J39" s="42" t="str">
        <x:v>系列修订、单位与时区</x:v>
      </x:c>
      <x:c r="K39" s="42" t="str">
        <x:v>https://www.eia.gov/opendata/</x:v>
      </x:c>
      <x:c r="L39" s="43" t="str">
        <x:v>P1</x:v>
      </x:c>
    </x:row>
    <x:row r="40" ht="42" customHeight="1">
      <x:c r="A40" s="41" t="str">
        <x:v>D36</x:v>
      </x:c>
      <x:c r="B40" s="42" t="str">
        <x:v>天气气候</x:v>
      </x:c>
      <x:c r="C40" s="42" t="str">
        <x:v>NOAA Climate Data Online</x:v>
      </x:c>
      <x:c r="D40" s="42" t="str">
        <x:v>全球/美国</x:v>
      </x:c>
      <x:c r="E40" s="42" t="str">
        <x:v>开放 API</x:v>
      </x:c>
      <x:c r="F40" s="42" t="str">
        <x:v>免费；token</x:v>
      </x:c>
      <x:c r="G40" s="42" t="str">
        <x:v>REST/下载</x:v>
      </x:c>
      <x:c r="H40" s="42" t="str">
        <x:v>气象站、温度、降水、极端天气</x:v>
      </x:c>
      <x:c r="I40" s="42" t="str">
        <x:v>需求、物流、灾害与运营冲击</x:v>
      </x:c>
      <x:c r="J40" s="42" t="str">
        <x:v>站点缺失、空间插值、极端值口径</x:v>
      </x:c>
      <x:c r="K40" s="42" t="str">
        <x:v>https://www.ncei.noaa.gov/cdo-web/webservices/v2</x:v>
      </x:c>
      <x:c r="L40" s="43" t="str">
        <x:v>P1</x:v>
      </x:c>
    </x:row>
    <x:row r="41" ht="42" customHeight="1">
      <x:c r="A41" s="41" t="str">
        <x:v>D37</x:v>
      </x:c>
      <x:c r="B41" s="42" t="str">
        <x:v>天气气候</x:v>
      </x:c>
      <x:c r="C41" s="42" t="str">
        <x:v>Copernicus ERA5</x:v>
      </x:c>
      <x:c r="D41" s="42" t="str">
        <x:v>全球</x:v>
      </x:c>
      <x:c r="E41" s="42" t="str">
        <x:v>注册开放</x:v>
      </x:c>
      <x:c r="F41" s="42" t="str">
        <x:v>免费（计算/下载有成本）</x:v>
      </x:c>
      <x:c r="G41" s="42" t="str">
        <x:v>API/NetCDF</x:v>
      </x:c>
      <x:c r="H41" s="42" t="str">
        <x:v>再分析气象时空网格</x:v>
      </x:c>
      <x:c r="I41" s="42" t="str">
        <x:v>气候风险、能源与供应链冲击</x:v>
      </x:c>
      <x:c r="J41" s="42" t="str">
        <x:v>再分析非观测真值；空间尺度匹配</x:v>
      </x:c>
      <x:c r="K41" s="42" t="str">
        <x:v>https://cds.climate.copernicus.eu/</x:v>
      </x:c>
      <x:c r="L41" s="43" t="str">
        <x:v>P2</x:v>
      </x:c>
    </x:row>
    <x:row r="42" ht="42" customHeight="1">
      <x:c r="A42" s="41" t="str">
        <x:v>D38</x:v>
      </x:c>
      <x:c r="B42" s="42" t="str">
        <x:v>医疗运营</x:v>
      </x:c>
      <x:c r="C42" s="42" t="str">
        <x:v>CMS Data</x:v>
      </x:c>
      <x:c r="D42" s="42" t="str">
        <x:v>美国</x:v>
      </x:c>
      <x:c r="E42" s="42" t="str">
        <x:v>开放/受限子库</x:v>
      </x:c>
      <x:c r="F42" s="42" t="str">
        <x:v>多数免费</x:v>
      </x:c>
      <x:c r="G42" s="42" t="str">
        <x:v>API/下载</x:v>
      </x:c>
      <x:c r="H42" s="42" t="str">
        <x:v>医疗服务、质量、支付、机构</x:v>
      </x:c>
      <x:c r="I42" s="42" t="str">
        <x:v>医疗运营、质量、政策评估</x:v>
      </x:c>
      <x:c r="J42" s="42" t="str">
        <x:v>HIPAA/小样本披露与机构匹配</x:v>
      </x:c>
      <x:c r="K42" s="42" t="str">
        <x:v>https://data.cms.gov/</x:v>
      </x:c>
      <x:c r="L42" s="43" t="str">
        <x:v>P1</x:v>
      </x:c>
    </x:row>
    <x:row r="43" ht="42" customHeight="1">
      <x:c r="A43" s="41" t="str">
        <x:v>D39</x:v>
      </x:c>
      <x:c r="B43" s="42" t="str">
        <x:v>医疗运营</x:v>
      </x:c>
      <x:c r="C43" s="42" t="str">
        <x:v>MIMIC-IV</x:v>
      </x:c>
      <x:c r="D43" s="42" t="str">
        <x:v>美国单一医疗系统</x:v>
      </x:c>
      <x:c r="E43" s="42" t="str">
        <x:v>凭证与培训</x:v>
      </x:c>
      <x:c r="F43" s="42" t="str">
        <x:v>免费研究用途</x:v>
      </x:c>
      <x:c r="G43" s="42" t="str">
        <x:v>PhysioNet/SQL</x:v>
      </x:c>
      <x:c r="H43" s="42" t="str">
        <x:v>去标识 EHR、ICU、急诊、用药、流程</x:v>
      </x:c>
      <x:c r="I43" s="42" t="str">
        <x:v>医疗资源、风险预测、临床运营</x:v>
      </x:c>
      <x:c r="J43" s="42" t="str">
        <x:v>需 DUA/培训；不得重识别；外部有效性有限</x:v>
      </x:c>
      <x:c r="K43" s="42" t="str">
        <x:v>https://physionet.org/content/mimiciv/</x:v>
      </x:c>
      <x:c r="L43" s="43" t="str">
        <x:v>P2</x:v>
      </x:c>
    </x:row>
    <x:row r="44" ht="42" customHeight="1">
      <x:c r="A44" s="44" t="str">
        <x:v>D40</x:v>
      </x:c>
      <x:c r="B44" s="45" t="str">
        <x:v>劳动力职业</x:v>
      </x:c>
      <x:c r="C44" s="45" t="str">
        <x:v>O*NET</x:v>
      </x:c>
      <x:c r="D44" s="45" t="str">
        <x:v>美国</x:v>
      </x:c>
      <x:c r="E44" s="45" t="str">
        <x:v>开放</x:v>
      </x:c>
      <x:c r="F44" s="45" t="str">
        <x:v>免费</x:v>
      </x:c>
      <x:c r="G44" s="45" t="str">
        <x:v>API/下载</x:v>
      </x:c>
      <x:c r="H44" s="45" t="str">
        <x:v>职业技能、任务、知识、工作活动</x:v>
      </x:c>
      <x:c r="I44" s="45" t="str">
        <x:v>人力资本、自动化、技能匹配</x:v>
      </x:c>
      <x:c r="J44" s="45" t="str">
        <x:v>职业分类版本与跨国外推</x:v>
      </x:c>
      <x:c r="K44" s="45" t="str">
        <x:v>https://www.onetcenter.org/database.html</x:v>
      </x:c>
      <x:c r="L44" s="46" t="str">
        <x:v>P1</x:v>
      </x:c>
    </x:row>
  </x:sheetData>
  <x:mergeCells>
    <x:mergeCell ref="A1:L1"/>
    <x:mergeCell ref="A2:L2"/>
  </x:mergeCells>
  <x:conditionalFormatting sqref="L5:L44">
    <x:cfRule type="containsText" dxfId="2" priority="1" operator="containsText" text="P0"/>
    <x:cfRule type="containsText" dxfId="3" priority="2" operator="containsText" text="P2"/>
  </x:conditionalFormatting>
  <x:pageMargins left="0.7" right="0.7" top="0.75" bottom="0.75" header="0.3" footer="0.3"/>
  <x:tableParts count="1">
    <x:tablePart xmlns:r="http://schemas.openxmlformats.org/officeDocument/2006/relationships" r:id="R28c3aa2255c24f3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8" hidden="0" customWidth="1"/>
    <x:col min="4" max="4" width="54" hidden="0" customWidth="1"/>
    <x:col min="5" max="5" width="34" hidden="0" customWidth="1"/>
    <x:col min="6" max="6" width="38" hidden="0" customWidth="1"/>
    <x:col min="7" max="7" width="44" hidden="0" customWidth="1"/>
    <x:col min="8" max="8" width="40" hidden="0" customWidth="1"/>
    <x:col min="9" max="9" width="26" hidden="0" customWidth="1"/>
    <x:col min="10" max="10" width="44" hidden="0" customWidth="1"/>
  </x:cols>
  <x:sheetData>
    <x:row r="1" ht="30" customHeight="1">
      <x:c r="A1" s="3" t="str">
        <x:v>Model &amp; Formula Library</x:v>
      </x:c>
      <x:c r="B1" s="3"/>
      <x:c r="C1" s="3"/>
      <x:c r="D1" s="3"/>
      <x:c r="E1" s="3"/>
      <x:c r="F1" s="3"/>
      <x:c r="G1" s="3"/>
      <x:c r="H1" s="3"/>
      <x:c r="I1" s="3"/>
      <x:c r="J1" s="3"/>
    </x:row>
    <x:row r="2" ht="30" customHeight="1">
      <x:c r="A2" s="7" t="str">
        <x:v>47 formula cards for selection, explanation, and code scaffolding. A formula is never valid without its assumptions, diagnostics, and data definitions.</x:v>
      </x:c>
      <x:c r="B2" s="7"/>
      <x:c r="C2" s="7"/>
      <x:c r="D2" s="7"/>
      <x:c r="E2" s="7"/>
      <x:c r="F2" s="7"/>
      <x:c r="G2" s="7"/>
      <x:c r="H2" s="7"/>
      <x:c r="I2" s="7"/>
      <x:c r="J2" s="7"/>
    </x:row>
    <x:row r="4" ht="32" customHeight="1">
      <x:c r="A4" s="16" t="str">
        <x:v>ID</x:v>
      </x:c>
      <x:c r="B4" s="17" t="str">
        <x:v>Category</x:v>
      </x:c>
      <x:c r="C4" s="17" t="str">
        <x:v>Name</x:v>
      </x:c>
      <x:c r="D4" s="17" t="str">
        <x:v>LaTeX Formula</x:v>
      </x:c>
      <x:c r="E4" s="17" t="str">
        <x:v>Use When</x:v>
      </x:c>
      <x:c r="F4" s="17" t="str">
        <x:v>Notation</x:v>
      </x:c>
      <x:c r="G4" s="17" t="str">
        <x:v>Assumptions</x:v>
      </x:c>
      <x:c r="H4" s="17" t="str">
        <x:v>Diagnostics</x:v>
      </x:c>
      <x:c r="I4" s="17" t="str">
        <x:v>Packages</x:v>
      </x:c>
      <x:c r="J4" s="18" t="str">
        <x:v>Warning</x:v>
      </x:c>
    </x:row>
    <x:row r="5" ht="42" customHeight="1">
      <x:c r="A5" s="38" t="str">
        <x:v>STAT-01</x:v>
      </x:c>
      <x:c r="B5" s="39" t="str">
        <x:v>描述统计</x:v>
      </x:c>
      <x:c r="C5" s="39" t="str">
        <x:v>样本均值与方差</x:v>
      </x:c>
      <x:c r="D5" s="39" t="str">
        <x:v>\bar{x}=\frac{1}{n}\sum_{i=1}^{n}x_i,\quad s^2=\frac{1}{n-1}\sum_{i=1}^{n}(x_i-\bar{x})^2</x:v>
      </x:c>
      <x:c r="E5" s="39" t="str">
        <x:v>概括中心与离散</x:v>
      </x:c>
      <x:c r="F5" s="39" t="str">
        <x:v>n样本数；x_i观测</x:v>
      </x:c>
      <x:c r="G5" s="39" t="str">
        <x:v>独立性仅影响推断，不影响定义</x:v>
      </x:c>
      <x:c r="H5" s="39" t="str">
        <x:v>缺失、极端值、分组口径</x:v>
      </x:c>
      <x:c r="I5" s="39" t="str">
        <x:v>numpy/pandas; R base</x:v>
      </x:c>
      <x:c r="J5" s="40" t="str">
        <x:v>偏态数据同时报告中位数/IQR</x:v>
      </x:c>
    </x:row>
    <x:row r="6" ht="42" customHeight="1">
      <x:c r="A6" s="41" t="str">
        <x:v>STAT-02</x:v>
      </x:c>
      <x:c r="B6" s="42" t="str">
        <x:v>回归</x:v>
      </x:c>
      <x:c r="C6" s="42" t="str">
        <x:v>OLS</x:v>
      </x:c>
      <x:c r="D6" s="42" t="str">
        <x:v>y_i=\beta_0+x_i'\beta+\varepsilon_i,\quad \hat\beta=(X'X)^{-1}X'y</x:v>
      </x:c>
      <x:c r="E6" s="42" t="str">
        <x:v>连续结果的基准关系</x:v>
      </x:c>
      <x:c r="F6" s="42" t="str">
        <x:v>X设计矩阵；β系数</x:v>
      </x:c>
      <x:c r="G6" s="42" t="str">
        <x:v>线性可加；条件均值为零；满秩</x:v>
      </x:c>
      <x:c r="H6" s="42" t="str">
        <x:v>残差、异方差、共线性、聚类</x:v>
      </x:c>
      <x:c r="I6" s="42" t="str">
        <x:v>statsmodels; fixest</x:v>
      </x:c>
      <x:c r="J6" s="43" t="str">
        <x:v>统计显著不等于因果或管理显著</x:v>
      </x:c>
    </x:row>
    <x:row r="7" ht="42" customHeight="1">
      <x:c r="A7" s="41" t="str">
        <x:v>STAT-03</x:v>
      </x:c>
      <x:c r="B7" s="42" t="str">
        <x:v>广义线性</x:v>
      </x:c>
      <x:c r="C7" s="42" t="str">
        <x:v>Logit/Poisson</x:v>
      </x:c>
      <x:c r="D7" s="42" t="str">
        <x:v>\Pr(y_i=1|x_i)=\Lambda(x_i'\beta);\quad E[y_i|x_i]=\exp(x_i'\beta)</x:v>
      </x:c>
      <x:c r="E7" s="42" t="str">
        <x:v>二元或计数结果</x:v>
      </x:c>
      <x:c r="F7" s="42" t="str">
        <x:v>Λ为logistic CDF</x:v>
      </x:c>
      <x:c r="G7" s="42" t="str">
        <x:v>链接函数与条件分布/均值正确</x:v>
      </x:c>
      <x:c r="H7" s="42" t="str">
        <x:v>校准、过度离散、边际效应</x:v>
      </x:c>
      <x:c r="I7" s="42" t="str">
        <x:v>statsmodels; glm</x:v>
      </x:c>
      <x:c r="J7" s="43" t="str">
        <x:v>系数需转成概率/发生率含义</x:v>
      </x:c>
    </x:row>
    <x:row r="8" ht="42" customHeight="1">
      <x:c r="A8" s="41" t="str">
        <x:v>STAT-04</x:v>
      </x:c>
      <x:c r="B8" s="42" t="str">
        <x:v>面板</x:v>
      </x:c>
      <x:c r="C8" s="42" t="str">
        <x:v>双向固定效应</x:v>
      </x:c>
      <x:c r="D8" s="42" t="str">
        <x:v>y_{it}=\beta x_{it}+\alpha_i+\lambda_t+\varepsilon_{it}</x:v>
      </x:c>
      <x:c r="E8" s="42" t="str">
        <x:v>控制个体与共同时间冲击</x:v>
      </x:c>
      <x:c r="F8" s="42" t="str">
        <x:v>α_i个体效应；λ_t时间效应</x:v>
      </x:c>
      <x:c r="G8" s="42" t="str">
        <x:v>组内外生；有足够组内变化</x:v>
      </x:c>
      <x:c r="H8" s="42" t="str">
        <x:v>聚类误差、序列相关、趋势</x:v>
      </x:c>
      <x:c r="I8" s="42" t="str">
        <x:v>linearmodels; fixest</x:v>
      </x:c>
      <x:c r="J8" s="43" t="str">
        <x:v>它本身不是因果识别策略</x:v>
      </x:c>
    </x:row>
    <x:row r="9" ht="42" customHeight="1">
      <x:c r="A9" s="41" t="str">
        <x:v>STAT-05</x:v>
      </x:c>
      <x:c r="B9" s="42" t="str">
        <x:v>生存分析</x:v>
      </x:c>
      <x:c r="C9" s="42" t="str">
        <x:v>Cox 比例风险</x:v>
      </x:c>
      <x:c r="D9" s="42" t="str">
        <x:v>h(t|x)=h_0(t)\exp(x'\beta)</x:v>
      </x:c>
      <x:c r="E9" s="42" t="str">
        <x:v>事件发生时间与删失</x:v>
      </x:c>
      <x:c r="F9" s="42" t="str">
        <x:v>h_0基准风险；expβ风险比</x:v>
      </x:c>
      <x:c r="G9" s="42" t="str">
        <x:v>比例风险；删失机制合理</x:v>
      </x:c>
      <x:c r="H9" s="42" t="str">
        <x:v>Schoenfeld残差、竞争风险</x:v>
      </x:c>
      <x:c r="I9" s="42" t="str">
        <x:v>lifelines; R survival</x:v>
      </x:c>
      <x:c r="J9" s="43" t="str">
        <x:v>风险比不是发生概率比</x:v>
      </x:c>
    </x:row>
    <x:row r="10" ht="42" customHeight="1">
      <x:c r="A10" s="41" t="str">
        <x:v>STAT-06</x:v>
      </x:c>
      <x:c r="B10" s="42" t="str">
        <x:v>测量模型</x:v>
      </x:c>
      <x:c r="C10" s="42" t="str">
        <x:v>SEM 测量与结构方程</x:v>
      </x:c>
      <x:c r="D10" s="42" t="str">
        <x:v>x=\Lambda_x\xi+\delta,\quad y=\Lambda_y\eta+\epsilon,\quad \eta=B\eta+\Gamma\xi+\zeta</x:v>
      </x:c>
      <x:c r="E10" s="42" t="str">
        <x:v>潜变量与结构路径</x:v>
      </x:c>
      <x:c r="F10" s="42" t="str">
        <x:v>Λ载荷；ξ外生潜变量；η内生潜变量</x:v>
      </x:c>
      <x:c r="G10" s="42" t="str">
        <x:v>可识别、测量有效、样本适配</x:v>
      </x:c>
      <x:c r="H10" s="42" t="str">
        <x:v>CFI/TLI/RMSEA、CR/AVE、区分效度</x:v>
      </x:c>
      <x:c r="I10" s="42" t="str">
        <x:v>lavaan; Mplus</x:v>
      </x:c>
      <x:c r="J10" s="43" t="str">
        <x:v>拟合优不代表理论真</x:v>
      </x:c>
    </x:row>
    <x:row r="11" ht="42" customHeight="1">
      <x:c r="A11" s="41" t="str">
        <x:v>CAUS-01</x:v>
      </x:c>
      <x:c r="B11" s="42" t="str">
        <x:v>因果</x:v>
      </x:c>
      <x:c r="C11" s="42" t="str">
        <x:v>ATE/ATT</x:v>
      </x:c>
      <x:c r="D11" s="42" t="str">
        <x:v>ATE=E[Y(1)-Y(0)],\quad ATT=E[Y(1)-Y(0)|D=1]</x:v>
      </x:c>
      <x:c r="E11" s="42" t="str">
        <x:v>定义平均处理效应目标量</x:v>
      </x:c>
      <x:c r="F11" s="42" t="str">
        <x:v>Y(d)潜在结果；D处理</x:v>
      </x:c>
      <x:c r="G11" s="42" t="str">
        <x:v>一致性、可识别条件取决于设计</x:v>
      </x:c>
      <x:c r="H11" s="42" t="str">
        <x:v>重叠、平衡、敏感性</x:v>
      </x:c>
      <x:c r="I11" s="42" t="str">
        <x:v>EconML/DoubleML</x:v>
      </x:c>
      <x:c r="J11" s="43" t="str">
        <x:v>先定义 estimand 再选估计器</x:v>
      </x:c>
    </x:row>
    <x:row r="12" ht="42" customHeight="1">
      <x:c r="A12" s="41" t="str">
        <x:v>CAUS-02</x:v>
      </x:c>
      <x:c r="B12" s="42" t="str">
        <x:v>因果</x:v>
      </x:c>
      <x:c r="C12" s="42" t="str">
        <x:v>双重差分</x:v>
      </x:c>
      <x:c r="D12" s="42" t="str">
        <x:v>\hat\tau_{DID}=(\bar Y_{T,post}-\bar Y_{T,pre})-(\bar Y_{C,post}-\bar Y_{C,pre})</x:v>
      </x:c>
      <x:c r="E12" s="42" t="str">
        <x:v>处理/对照的政策冲击</x:v>
      </x:c>
      <x:c r="F12" s="42" t="str">
        <x:v>T/C组；pre/post时期</x:v>
      </x:c>
      <x:c r="G12" s="42" t="str">
        <x:v>平行趋势、无提前、无溢出</x:v>
      </x:c>
      <x:c r="H12" s="42" t="str">
        <x:v>预趋势与placebo</x:v>
      </x:c>
      <x:c r="I12" s="42" t="str">
        <x:v>did/fixest/csdid</x:v>
      </x:c>
      <x:c r="J12" s="43" t="str">
        <x:v>分期处理需现代异质处理估计器</x:v>
      </x:c>
    </x:row>
    <x:row r="13" ht="42" customHeight="1">
      <x:c r="A13" s="41" t="str">
        <x:v>CAUS-03</x:v>
      </x:c>
      <x:c r="B13" s="42" t="str">
        <x:v>因果</x:v>
      </x:c>
      <x:c r="C13" s="42" t="str">
        <x:v>事件研究</x:v>
      </x:c>
      <x:c r="D13" s="42" t="str">
        <x:v>y_{it}=\alpha_i+\lambda_t+\sum_{k\ne-1}\beta_k1[t-G_i=k]+\varepsilon_{it}</x:v>
      </x:c>
      <x:c r="E13" s="42" t="str">
        <x:v>展示处理前后动态效应</x:v>
      </x:c>
      <x:c r="F13" s="42" t="str">
        <x:v>G_i首次处理期；k相对时间</x:v>
      </x:c>
      <x:c r="G13" s="42" t="str">
        <x:v>动态平行趋势；权重正确</x:v>
      </x:c>
      <x:c r="H13" s="42" t="str">
        <x:v>处理前系数、组群异质</x:v>
      </x:c>
      <x:c r="I13" s="42" t="str">
        <x:v>fixest; eventstudyinteract</x:v>
      </x:c>
      <x:c r="J13" s="43" t="str">
        <x:v>传统TWFE事件研究可能有污染</x:v>
      </x:c>
    </x:row>
    <x:row r="14" ht="42" customHeight="1">
      <x:c r="A14" s="41" t="str">
        <x:v>CAUS-04</x:v>
      </x:c>
      <x:c r="B14" s="42" t="str">
        <x:v>因果</x:v>
      </x:c>
      <x:c r="C14" s="42" t="str">
        <x:v>2SLS/IV</x:v>
      </x:c>
      <x:c r="D14" s="42" t="str">
        <x:v>D_i=\pi Z_i+X_i'\gamma+u_i;\quad Y_i=\beta\hat D_i+X_i'\theta+\varepsilon_i</x:v>
      </x:c>
      <x:c r="E14" s="42" t="str">
        <x:v>处理内生且有有效工具</x:v>
      </x:c>
      <x:c r="F14" s="42" t="str">
        <x:v>Z工具；D内生处理</x:v>
      </x:c>
      <x:c r="G14" s="42" t="str">
        <x:v>相关、排除、独立、单调</x:v>
      </x:c>
      <x:c r="H14" s="42" t="str">
        <x:v>弱工具F、过识别、LATE</x:v>
      </x:c>
      <x:c r="I14" s="42" t="str">
        <x:v>linearmodels; ivreg2</x:v>
      </x:c>
      <x:c r="J14" s="43" t="str">
        <x:v>排除限制主要靠制度与机制论证</x:v>
      </x:c>
    </x:row>
    <x:row r="15" ht="42" customHeight="1">
      <x:c r="A15" s="41" t="str">
        <x:v>CAUS-05</x:v>
      </x:c>
      <x:c r="B15" s="42" t="str">
        <x:v>因果</x:v>
      </x:c>
      <x:c r="C15" s="42" t="str">
        <x:v>RDD 局部跳跃</x:v>
      </x:c>
      <x:c r="D15" s="42" t="str">
        <x:v>\tau=\lim_{x\downarrow c}E[Y|X=x]-\lim_{x\uparrow c}E[Y|X=x]</x:v>
      </x:c>
      <x:c r="E15" s="42" t="str">
        <x:v>阈值决定处理</x:v>
      </x:c>
      <x:c r="F15" s="42" t="str">
        <x:v>X运行变量；c阈值</x:v>
      </x:c>
      <x:c r="G15" s="42" t="str">
        <x:v>阈值附近连续且不可精确操纵</x:v>
      </x:c>
      <x:c r="H15" s="42" t="str">
        <x:v>密度、协变量平衡、带宽</x:v>
      </x:c>
      <x:c r="I15" s="42" t="str">
        <x:v>rdrobust</x:v>
      </x:c>
      <x:c r="J15" s="43" t="str">
        <x:v>估计的是阈值附近局部效应</x:v>
      </x:c>
    </x:row>
    <x:row r="16" ht="42" customHeight="1">
      <x:c r="A16" s="41" t="str">
        <x:v>CAUS-06</x:v>
      </x:c>
      <x:c r="B16" s="42" t="str">
        <x:v>因果</x:v>
      </x:c>
      <x:c r="C16" s="42" t="str">
        <x:v>合成控制</x:v>
      </x:c>
      <x:c r="D16" s="42" t="str">
        <x:v>\min_{w_j\ge0,\sum w_j=1}\|X_1-X_0w\|_V;\quad \hat\tau_t=Y_{1t}-\sum_jw_jY_{jt}</x:v>
      </x:c>
      <x:c r="E16" s="42" t="str">
        <x:v>单一处理单位构造反事实</x:v>
      </x:c>
      <x:c r="F16" s="42" t="str">
        <x:v>w供体权重；V预测变量权重</x:v>
      </x:c>
      <x:c r="G16" s="42" t="str">
        <x:v>供体未处理；前期拟合；无溢出</x:v>
      </x:c>
      <x:c r="H16" s="42" t="str">
        <x:v>RMSPE、置换、leave-one-out</x:v>
      </x:c>
      <x:c r="I16" s="42" t="str">
        <x:v>Synth/augsynth</x:v>
      </x:c>
      <x:c r="J16" s="43" t="str">
        <x:v>前期拟合差则后期差距不可解释</x:v>
      </x:c>
    </x:row>
    <x:row r="17" ht="42" customHeight="1">
      <x:c r="A17" s="41" t="str">
        <x:v>CAUS-07</x:v>
      </x:c>
      <x:c r="B17" s="42" t="str">
        <x:v>因果</x:v>
      </x:c>
      <x:c r="C17" s="42" t="str">
        <x:v>逆概率加权</x:v>
      </x:c>
      <x:c r="D17" s="42" t="str">
        <x:v>\hat\tau=\frac1n\sum_i\left[\frac{D_iY_i}{\hat e(X_i)}-\frac{(1-D_i)Y_i}{1-\hat e(X_i)}\right]</x:v>
      </x:c>
      <x:c r="E17" s="42" t="str">
        <x:v>可观测混杂下加权平衡</x:v>
      </x:c>
      <x:c r="F17" s="42" t="str">
        <x:v>e(X)倾向得分</x:v>
      </x:c>
      <x:c r="G17" s="42" t="str">
        <x:v>条件可忽略、重叠、一致性</x:v>
      </x:c>
      <x:c r="H17" s="42" t="str">
        <x:v>极端权重、平衡、截尾</x:v>
      </x:c>
      <x:c r="I17" s="42" t="str">
        <x:v>causalml; WeightIt</x:v>
      </x:c>
      <x:c r="J17" s="43" t="str">
        <x:v>不能解决未观测混杂</x:v>
      </x:c>
    </x:row>
    <x:row r="18" ht="42" customHeight="1">
      <x:c r="A18" s="41" t="str">
        <x:v>CAUS-08</x:v>
      </x:c>
      <x:c r="B18" s="42" t="str">
        <x:v>因果ML</x:v>
      </x:c>
      <x:c r="C18" s="42" t="str">
        <x:v>DML 正交得分</x:v>
      </x:c>
      <x:c r="D18" s="42" t="str">
        <x:v>\tilde Y=Y-\hat m(X),\;\tilde D=D-\hat g(X),\;\hat\theta=\frac{\sum\tilde D\tilde Y}{\sum\tilde D^2}</x:v>
      </x:c>
      <x:c r="E18" s="42" t="str">
        <x:v>高维控制下的处理效应</x:v>
      </x:c>
      <x:c r="F18" s="42" t="str">
        <x:v>m结果nuisance；g处理nuisance</x:v>
      </x:c>
      <x:c r="G18" s="42" t="str">
        <x:v>交叉拟合、正交性、重叠</x:v>
      </x:c>
      <x:c r="H18" s="42" t="str">
        <x:v>nuisance性能、敏感性、校准</x:v>
      </x:c>
      <x:c r="I18" s="42" t="str">
        <x:v>DoubleML/EconML</x:v>
      </x:c>
      <x:c r="J18" s="43" t="str">
        <x:v>预测强不自动意味着因果有效</x:v>
      </x:c>
    </x:row>
    <x:row r="19" ht="42" customHeight="1">
      <x:c r="A19" s="41" t="str">
        <x:v>CAUS-09</x:v>
      </x:c>
      <x:c r="B19" s="42" t="str">
        <x:v>机制</x:v>
      </x:c>
      <x:c r="C19" s="42" t="str">
        <x:v>线性中介分解</x:v>
      </x:c>
      <x:c r="D19" s="42" t="str">
        <x:v>M=aD+X'\gamma+u,\quad Y=c'D+bM+X'\theta+\varepsilon,\quad indirect=ab</x:v>
      </x:c>
      <x:c r="E19" s="42" t="str">
        <x:v>探索处理通过中介的路径</x:v>
      </x:c>
      <x:c r="F19" s="42" t="str">
        <x:v>a,b路径系数</x:v>
      </x:c>
      <x:c r="G19" s="42" t="str">
        <x:v>顺序可忽略等强假设</x:v>
      </x:c>
      <x:c r="H19" s="42" t="str">
        <x:v>bootstrap CI、替代顺序、敏感性</x:v>
      </x:c>
      <x:c r="I19" s="42" t="str">
        <x:v>statsmodels; mediation</x:v>
      </x:c>
      <x:c r="J19" s="43" t="str">
        <x:v>横截面中介通常难以支持因果机制</x:v>
      </x:c>
    </x:row>
    <x:row r="20" ht="42" customHeight="1">
      <x:c r="A20" s="41" t="str">
        <x:v>EXP-01</x:v>
      </x:c>
      <x:c r="B20" s="42" t="str">
        <x:v>实验</x:v>
      </x:c>
      <x:c r="C20" s="42" t="str">
        <x:v>随机实验差均值</x:v>
      </x:c>
      <x:c r="D20" s="42" t="str">
        <x:v>\hat\tau=\bar Y_1-\bar Y_0</x:v>
      </x:c>
      <x:c r="E20" s="42" t="str">
        <x:v>随机分配两组的ITT</x:v>
      </x:c>
      <x:c r="F20" s="42" t="str">
        <x:v>Y_1/Y_0为处理/对照观测均值</x:v>
      </x:c>
      <x:c r="G20" s="42" t="str">
        <x:v>随机化、SUTVA、流失可忽略/处理</x:v>
      </x:c>
      <x:c r="H20" s="42" t="str">
        <x:v>平衡、随机化推断、聚类设计</x:v>
      </x:c>
      <x:c r="I20" s="42" t="str">
        <x:v>statsmodels; DeclareDesign</x:v>
      </x:c>
      <x:c r="J20" s="43" t="str">
        <x:v>按随机化单元计算标准误</x:v>
      </x:c>
    </x:row>
    <x:row r="21" ht="42" customHeight="1">
      <x:c r="A21" s="41" t="str">
        <x:v>EXP-02</x:v>
      </x:c>
      <x:c r="B21" s="42" t="str">
        <x:v>实验</x:v>
      </x:c>
      <x:c r="C21" s="42" t="str">
        <x:v>两组均值近似样本量</x:v>
      </x:c>
      <x:c r="D21" s="42" t="str">
        <x:v>n_{per\ group}\approx\frac{2(z_{1-\alpha/2}+z_{1-\beta})^2\sigma^2}{\Delta^2}</x:v>
      </x:c>
      <x:c r="E21" s="42" t="str">
        <x:v>规划检测最小效应</x:v>
      </x:c>
      <x:c r="F21" s="42" t="str">
        <x:v>Δ最小效应；σ标准差；1-β功效</x:v>
      </x:c>
      <x:c r="G21" s="42" t="str">
        <x:v>独立、近似正态；复杂设计需修正</x:v>
      </x:c>
      <x:c r="H21" s="42" t="str">
        <x:v>ICC、流失、多重检验</x:v>
      </x:c>
      <x:c r="I21" s="42" t="str">
        <x:v>statsmodels; G*Power</x:v>
      </x:c>
      <x:c r="J21" s="43" t="str">
        <x:v>不要用事后功效替代置信区间</x:v>
      </x:c>
    </x:row>
    <x:row r="22" ht="42" customHeight="1">
      <x:c r="A22" s="41" t="str">
        <x:v>META-01</x:v>
      </x:c>
      <x:c r="B22" s="42" t="str">
        <x:v>元分析</x:v>
      </x:c>
      <x:c r="C22" s="42" t="str">
        <x:v>随机效应元分析</x:v>
      </x:c>
      <x:c r="D22" s="42" t="str">
        <x:v>\hat\mu=\frac{\sum_i w_i y_i}{\sum_i w_i},\quad w_i=\frac{1}{s_i^2+\tau^2}</x:v>
      </x:c>
      <x:c r="E22" s="42" t="str">
        <x:v>跨研究综合效应</x:v>
      </x:c>
      <x:c r="F22" s="42" t="str">
        <x:v>y_i效应；s_i标准误；τ²异质性</x:v>
      </x:c>
      <x:c r="G22" s="42" t="str">
        <x:v>效应可比；研究独立或已建模</x:v>
      </x:c>
      <x:c r="H22" s="42" t="str">
        <x:v>I²、τ²、漏斗图、影响诊断</x:v>
      </x:c>
      <x:c r="I22" s="42" t="str">
        <x:v>metafor</x:v>
      </x:c>
      <x:c r="J22" s="43" t="str">
        <x:v>高异质时总体均值可能掩盖机制</x:v>
      </x:c>
    </x:row>
    <x:row r="23" ht="42" customHeight="1">
      <x:c r="A23" s="41" t="str">
        <x:v>DSR-01</x:v>
      </x:c>
      <x:c r="B23" s="42" t="str">
        <x:v>设计科学</x:v>
      </x:c>
      <x:c r="C23" s="42" t="str">
        <x:v>效用增益/基线差</x:v>
      </x:c>
      <x:c r="D23" s="42" t="str">
        <x:v>\Delta U=U(artifact)-U(baseline)</x:v>
      </x:c>
      <x:c r="E23" s="42" t="str">
        <x:v>评估人工制品相对基线的价值</x:v>
      </x:c>
      <x:c r="F23" s="42" t="str">
        <x:v>U可为正确率、时间、成本、采用等</x:v>
      </x:c>
      <x:c r="G23" s="42" t="str">
        <x:v>指标与设计目标一致；评估样本适当</x:v>
      </x:c>
      <x:c r="H23" s="42" t="str">
        <x:v>消融、多场景、用户与技术指标</x:v>
      </x:c>
      <x:c r="I23" s="42" t="str">
        <x:v>实验框架</x:v>
      </x:c>
      <x:c r="J23" s="43" t="str">
        <x:v>必须同时报告失败条件与设计边界</x:v>
      </x:c>
    </x:row>
    <x:row r="24" ht="42" customHeight="1">
      <x:c r="A24" s="41" t="str">
        <x:v>OPT-01</x:v>
      </x:c>
      <x:c r="B24" s="42" t="str">
        <x:v>优化</x:v>
      </x:c>
      <x:c r="C24" s="42" t="str">
        <x:v>线性规划</x:v>
      </x:c>
      <x:c r="D24" s="42" t="str">
        <x:v>\min_x c'x\quad s.t.\quad Ax\le b,\;x\ge0</x:v>
      </x:c>
      <x:c r="E24" s="42" t="str">
        <x:v>连续资源配置</x:v>
      </x:c>
      <x:c r="F24" s="42" t="str">
        <x:v>x决策；c成本；A,b约束</x:v>
      </x:c>
      <x:c r="G24" s="42" t="str">
        <x:v>线性、参数已知</x:v>
      </x:c>
      <x:c r="H24" s="42" t="str">
        <x:v>可行性、对偶、敏感性</x:v>
      </x:c>
      <x:c r="I24" s="42" t="str">
        <x:v>Pyomo/CVXPY/HiGHS</x:v>
      </x:c>
      <x:c r="J24" s="43" t="str">
        <x:v>单位与方向错误比求解器错误更常见</x:v>
      </x:c>
    </x:row>
    <x:row r="25" ht="42" customHeight="1">
      <x:c r="A25" s="41" t="str">
        <x:v>OPT-02</x:v>
      </x:c>
      <x:c r="B25" s="42" t="str">
        <x:v>优化</x:v>
      </x:c>
      <x:c r="C25" s="42" t="str">
        <x:v>混合整数规划</x:v>
      </x:c>
      <x:c r="D25" s="42" t="str">
        <x:v>\min_{x,y} c'x+f'y\quad s.t.\quad Ax+By\le b,\;x\ge0,\;y\in\{0,1\}^m</x:v>
      </x:c>
      <x:c r="E25" s="42" t="str">
        <x:v>开关、指派、选址与调度</x:v>
      </x:c>
      <x:c r="F25" s="42" t="str">
        <x:v>y二元决策</x:v>
      </x:c>
      <x:c r="G25" s="42" t="str">
        <x:v>线性且整数语义正确</x:v>
      </x:c>
      <x:c r="H25" s="42" t="str">
        <x:v>MIP gap、节点、松弛、big-M</x:v>
      </x:c>
      <x:c r="I25" s="42" t="str">
        <x:v>Gurobi/CPLEX/OR-Tools</x:v>
      </x:c>
      <x:c r="J25" s="43" t="str">
        <x:v>big-M 过大导致数值与松弛问题</x:v>
      </x:c>
    </x:row>
    <x:row r="26" ht="42" customHeight="1">
      <x:c r="A26" s="41" t="str">
        <x:v>OPT-03</x:v>
      </x:c>
      <x:c r="B26" s="42" t="str">
        <x:v>不确定优化</x:v>
      </x:c>
      <x:c r="C26" s="42" t="str">
        <x:v>两阶段随机规划</x:v>
      </x:c>
      <x:c r="D26" s="42" t="str">
        <x:v>\min_x c'x+E_\xi[Q(x,\xi)],\quad Q=\min_y\{q(\xi)'y:W(\xi)y\ge h(\xi)-T(\xi)x\}</x:v>
      </x:c>
      <x:c r="E26" s="42" t="str">
        <x:v>先决策后观察不确定性</x:v>
      </x:c>
      <x:c r="F26" s="42" t="str">
        <x:v>x一阶段；y补救；ξ场景</x:v>
      </x:c>
      <x:c r="G26" s="42" t="str">
        <x:v>场景代表未来；可补救</x:v>
      </x:c>
      <x:c r="H26" s="42" t="str">
        <x:v>VSS、EVPI、样本外成本</x:v>
      </x:c>
      <x:c r="I26" s="42" t="str">
        <x:v>Pyomo/PySP</x:v>
      </x:c>
      <x:c r="J26" s="43" t="str">
        <x:v>场景生成与概率比求解更关键</x:v>
      </x:c>
    </x:row>
    <x:row r="27" ht="42" customHeight="1">
      <x:c r="A27" s="41" t="str">
        <x:v>OPT-04</x:v>
      </x:c>
      <x:c r="B27" s="42" t="str">
        <x:v>不确定优化</x:v>
      </x:c>
      <x:c r="C27" s="42" t="str">
        <x:v>鲁棒优化</x:v>
      </x:c>
      <x:c r="D27" s="42" t="str">
        <x:v>\min_x\max_{\xi\in\mathcal U} f(x,\xi)\quad s.t.\quad g(x,\xi)\le0,\;\forall\xi\in\mathcal U</x:v>
      </x:c>
      <x:c r="E27" s="42" t="str">
        <x:v>最坏情形可控</x:v>
      </x:c>
      <x:c r="F27" s="42" t="str">
        <x:v>U不确定集合</x:v>
      </x:c>
      <x:c r="G27" s="42" t="str">
        <x:v>集合覆盖合理风险</x:v>
      </x:c>
      <x:c r="H27" s="42" t="str">
        <x:v>价格鲁棒性、样本外压力</x:v>
      </x:c>
      <x:c r="I27" s="42" t="str">
        <x:v>CVXPY/RSOME</x:v>
      </x:c>
      <x:c r="J27" s="43" t="str">
        <x:v>集合过大会过度保守</x:v>
      </x:c>
    </x:row>
    <x:row r="28" ht="42" customHeight="1">
      <x:c r="A28" s="41" t="str">
        <x:v>OPT-05</x:v>
      </x:c>
      <x:c r="B28" s="42" t="str">
        <x:v>不确定优化</x:v>
      </x:c>
      <x:c r="C28" s="42" t="str">
        <x:v>机会约束</x:v>
      </x:c>
      <x:c r="D28" s="42" t="str">
        <x:v>\Pr_\xi(g(x,\xi)\le0)\ge1-\alpha</x:v>
      </x:c>
      <x:c r="E28" s="42" t="str">
        <x:v>允许小概率违约</x:v>
      </x:c>
      <x:c r="F28" s="42" t="str">
        <x:v>α风险容忍</x:v>
      </x:c>
      <x:c r="G28" s="42" t="str">
        <x:v>分布/样本近似可信</x:v>
      </x:c>
      <x:c r="H28" s="42" t="str">
        <x:v>样本外违约率、置信界</x:v>
      </x:c>
      <x:c r="I28" s="42" t="str">
        <x:v>CVXPY/Pyomo</x:v>
      </x:c>
      <x:c r="J28" s="43" t="str">
        <x:v>名义α不等于真实样本外违约率</x:v>
      </x:c>
    </x:row>
    <x:row r="29" ht="42" customHeight="1">
      <x:c r="A29" s="41" t="str">
        <x:v>OPT-06</x:v>
      </x:c>
      <x:c r="B29" s="42" t="str">
        <x:v>网络优化</x:v>
      </x:c>
      <x:c r="C29" s="42" t="str">
        <x:v>最小费用流</x:v>
      </x:c>
      <x:c r="D29" s="42" t="str">
        <x:v>\min\sum_{(i,j)}c_{ij}x_{ij}\;s.t.\;\sum_jx_{ij}-\sum_jx_{ji}=b_i,\;0\le x_{ij}\le u_{ij}</x:v>
      </x:c>
      <x:c r="E29" s="42" t="str">
        <x:v>运输、分配与网络流</x:v>
      </x:c>
      <x:c r="F29" s="42" t="str">
        <x:v>b_i供需；u容量</x:v>
      </x:c>
      <x:c r="G29" s="42" t="str">
        <x:v>流守恒与网络定义正确</x:v>
      </x:c>
      <x:c r="H29" s="42" t="str">
        <x:v>可行、瓶颈、对偶价格</x:v>
      </x:c>
      <x:c r="I29" s="42" t="str">
        <x:v>OR-Tools/NetworkX</x:v>
      </x:c>
      <x:c r="J29" s="43" t="str">
        <x:v>节点口径和方向最易出错</x:v>
      </x:c>
    </x:row>
    <x:row r="30" ht="42" customHeight="1">
      <x:c r="A30" s="41" t="str">
        <x:v>OPT-07</x:v>
      </x:c>
      <x:c r="B30" s="42" t="str">
        <x:v>选址</x:v>
      </x:c>
      <x:c r="C30" s="42" t="str">
        <x:v>容量设施选址</x:v>
      </x:c>
      <x:c r="D30" s="42" t="str">
        <x:v>\min\sum_j f_jy_j+\sum_{i,j}c_{ij}x_{ij}\;s.t.\;\sum_jx_{ij}=d_i,\;\sum_ix_{ij}\le K_jy_j</x:v>
      </x:c>
      <x:c r="E30" s="42" t="str">
        <x:v>仓库、站点、医院与充电设施</x:v>
      </x:c>
      <x:c r="F30" s="42" t="str">
        <x:v>y开站；x分配；K容量</x:v>
      </x:c>
      <x:c r="G30" s="42" t="str">
        <x:v>需求与成本空间化正确</x:v>
      </x:c>
      <x:c r="H30" s="42" t="str">
        <x:v>容量、覆盖、公平、敏感性</x:v>
      </x:c>
      <x:c r="I30" s="42" t="str">
        <x:v>Pyomo/Gurobi</x:v>
      </x:c>
      <x:c r="J30" s="43" t="str">
        <x:v>只最小化成本会忽略服务与公平</x:v>
      </x:c>
    </x:row>
    <x:row r="31" ht="42" customHeight="1">
      <x:c r="A31" s="41" t="str">
        <x:v>OPT-08</x:v>
      </x:c>
      <x:c r="B31" s="42" t="str">
        <x:v>路径</x:v>
      </x:c>
      <x:c r="C31" s="42" t="str">
        <x:v>容量车辆路径</x:v>
      </x:c>
      <x:c r="D31" s="42" t="str">
        <x:v>\min\sum_{i,j}c_{ij}x_{ij}\quad s.t.\;\text{visit once, flow balance, capacity, subtour elimination}</x:v>
      </x:c>
      <x:c r="E31" s="42" t="str">
        <x:v>配送、取送与移动服务</x:v>
      </x:c>
      <x:c r="F31" s="42" t="str">
        <x:v>x_{ij}是否走边</x:v>
      </x:c>
      <x:c r="G31" s="42" t="str">
        <x:v>图、需求、车队与时间窗正确</x:v>
      </x:c>
      <x:c r="H31" s="42" t="str">
        <x:v>可行率、gap、运行时、业务KPI</x:v>
      </x:c>
      <x:c r="I31" s="42" t="str">
        <x:v>OR-Tools/PyVRP</x:v>
      </x:c>
      <x:c r="J31" s="43" t="str">
        <x:v>必须显式防子回路并验证路线可执行</x:v>
      </x:c>
    </x:row>
    <x:row r="32" ht="42" customHeight="1">
      <x:c r="A32" s="41" t="str">
        <x:v>OPT-09</x:v>
      </x:c>
      <x:c r="B32" s="42" t="str">
        <x:v>库存</x:v>
      </x:c>
      <x:c r="C32" s="42" t="str">
        <x:v>报童临界分位</x:v>
      </x:c>
      <x:c r="D32" s="42" t="str">
        <x:v>F(q^*)=\frac{C_u}{C_u+C_o}</x:v>
      </x:c>
      <x:c r="E32" s="42" t="str">
        <x:v>单期不确定需求订货</x:v>
      </x:c>
      <x:c r="F32" s="42" t="str">
        <x:v>C_u缺货成本；C_o过量成本</x:v>
      </x:c>
      <x:c r="G32" s="42" t="str">
        <x:v>需求分布与边际成本稳定</x:v>
      </x:c>
      <x:c r="H32" s="42" t="str">
        <x:v>服务水平、分布误差、敏感性</x:v>
      </x:c>
      <x:c r="I32" s="42" t="str">
        <x:v>scipy</x:v>
      </x:c>
      <x:c r="J32" s="43" t="str">
        <x:v>成本口径决定分位点，需与业务核对</x:v>
      </x:c>
    </x:row>
    <x:row r="33" ht="42" customHeight="1">
      <x:c r="A33" s="41" t="str">
        <x:v>OPT-10</x:v>
      </x:c>
      <x:c r="B33" s="42" t="str">
        <x:v>库存</x:v>
      </x:c>
      <x:c r="C33" s="42" t="str">
        <x:v>(s,S)策略</x:v>
      </x:c>
      <x:c r="D33" s="42" t="str">
        <x:v>q_t=\begin{cases}S-I_t,&amp;I_t\le s\\0,&amp;I_t&gt;s\end{cases}</x:v>
      </x:c>
      <x:c r="E33" s="42" t="str">
        <x:v>有固定订货成本的补货</x:v>
      </x:c>
      <x:c r="F33" s="42" t="str">
        <x:v>I库存位置；s触发点；S目标</x:v>
      </x:c>
      <x:c r="G33" s="42" t="str">
        <x:v>状态可观测；需求/提前期模型可用</x:v>
      </x:c>
      <x:c r="H33" s="42" t="str">
        <x:v>缺货、服务、成本、漂移</x:v>
      </x:c>
      <x:c r="I33" s="42" t="str">
        <x:v>仿真/Pyomo</x:v>
      </x:c>
      <x:c r="J33" s="43" t="str">
        <x:v>策略参数需滚动更新与样本外验证</x:v>
      </x:c>
    </x:row>
    <x:row r="34" ht="42" customHeight="1">
      <x:c r="A34" s="41" t="str">
        <x:v>STO-01</x:v>
      </x:c>
      <x:c r="B34" s="42" t="str">
        <x:v>排队</x:v>
      </x:c>
      <x:c r="C34" s="42" t="str">
        <x:v>Little 定律</x:v>
      </x:c>
      <x:c r="D34" s="42" t="str">
        <x:v>L=\lambda W</x:v>
      </x:c>
      <x:c r="E34" s="42" t="str">
        <x:v>稳态系统中人数、流率与时间关系</x:v>
      </x:c>
      <x:c r="F34" s="42" t="str">
        <x:v>L平均在制；λ吞吐；W平均时间</x:v>
      </x:c>
      <x:c r="G34" s="42" t="str">
        <x:v>稳定、流守恒、长期平均</x:v>
      </x:c>
      <x:c r="H34" s="42" t="str">
        <x:v>单位一致、边界一致</x:v>
      </x:c>
      <x:c r="I34" s="42" t="str">
        <x:v>SimPy/手算</x:v>
      </x:c>
      <x:c r="J34" s="43" t="str">
        <x:v>不能单独给出等待时间分布</x:v>
      </x:c>
    </x:row>
    <x:row r="35" ht="42" customHeight="1">
      <x:c r="A35" s="41" t="str">
        <x:v>STO-02</x:v>
      </x:c>
      <x:c r="B35" s="42" t="str">
        <x:v>排队</x:v>
      </x:c>
      <x:c r="C35" s="42" t="str">
        <x:v>M/M/1</x:v>
      </x:c>
      <x:c r="D35" s="42" t="str">
        <x:v>\rho=\lambda/\mu&lt;1,\quad W=\frac{1}{\mu-\lambda},\quad L=\frac{\lambda}{\mu-\lambda}</x:v>
      </x:c>
      <x:c r="E35" s="42" t="str">
        <x:v>指数到达服务的单服务台基准</x:v>
      </x:c>
      <x:c r="F35" s="42" t="str">
        <x:v>λ到达率；μ服务率</x:v>
      </x:c>
      <x:c r="G35" s="42" t="str">
        <x:v>Poisson到达、指数服务、FCFS、稳态</x:v>
      </x:c>
      <x:c r="H35" s="42" t="str">
        <x:v>分布拟合、ρ、尾部等待</x:v>
      </x:c>
      <x:c r="I35" s="42" t="str">
        <x:v>queueing-tool/SimPy</x:v>
      </x:c>
      <x:c r="J35" s="43" t="str">
        <x:v>真实服务时间重尾时会严重低估等待</x:v>
      </x:c>
    </x:row>
    <x:row r="36" ht="42" customHeight="1">
      <x:c r="A36" s="41" t="str">
        <x:v>STO-03</x:v>
      </x:c>
      <x:c r="B36" s="42" t="str">
        <x:v>随机过程</x:v>
      </x:c>
      <x:c r="C36" s="42" t="str">
        <x:v>马尔可夫链稳态</x:v>
      </x:c>
      <x:c r="D36" s="42" t="str">
        <x:v>\pi=\pi P,\quad \sum_i\pi_i=1</x:v>
      </x:c>
      <x:c r="E36" s="42" t="str">
        <x:v>长期状态占比与转移</x:v>
      </x:c>
      <x:c r="F36" s="42" t="str">
        <x:v>P转移矩阵；π稳态</x:v>
      </x:c>
      <x:c r="G36" s="42" t="str">
        <x:v>齐次、不可约/遍历等</x:v>
      </x:c>
      <x:c r="H36" s="42" t="str">
        <x:v>转移稳定、状态定义、收敛</x:v>
      </x:c>
      <x:c r="I36" s="42" t="str">
        <x:v>numpy/scipy</x:v>
      </x:c>
      <x:c r="J36" s="43" t="str">
        <x:v>状态聚合不当会破坏马尔可夫性</x:v>
      </x:c>
    </x:row>
    <x:row r="37" ht="42" customHeight="1">
      <x:c r="A37" s="41" t="str">
        <x:v>STO-04</x:v>
      </x:c>
      <x:c r="B37" s="42" t="str">
        <x:v>动态决策</x:v>
      </x:c>
      <x:c r="C37" s="42" t="str">
        <x:v>Bellman 最优方程</x:v>
      </x:c>
      <x:c r="D37" s="42" t="str">
        <x:v>V^*(s)=\max_a\{r(s,a)+\gamma E[V^*(s')|s,a]\}</x:v>
      </x:c>
      <x:c r="E37" s="42" t="str">
        <x:v>MDP的最优价值与策略</x:v>
      </x:c>
      <x:c r="F37" s="42" t="str">
        <x:v>s状态；a动作；γ折扣</x:v>
      </x:c>
      <x:c r="G37" s="42" t="str">
        <x:v>近似马尔可夫；模型/数据覆盖</x:v>
      </x:c>
      <x:c r="H37" s="42" t="str">
        <x:v>Bellman误差、策略价值、覆盖</x:v>
      </x:c>
      <x:c r="I37" s="42" t="str">
        <x:v>MDPtoolbox/RLlib</x:v>
      </x:c>
      <x:c r="J37" s="43" t="str">
        <x:v>奖励必须对应真实管理目标</x:v>
      </x:c>
    </x:row>
    <x:row r="38" ht="42" customHeight="1">
      <x:c r="A38" s="41" t="str">
        <x:v>GAME-01</x:v>
      </x:c>
      <x:c r="B38" s="42" t="str">
        <x:v>博弈</x:v>
      </x:c>
      <x:c r="C38" s="42" t="str">
        <x:v>Nash 均衡</x:v>
      </x:c>
      <x:c r="D38" s="42" t="str">
        <x:v>u_i(a_i^*,a_{-i}^*)\ge u_i(a_i,a_{-i}^*),\;\forall i,a_i</x:v>
      </x:c>
      <x:c r="E38" s="42" t="str">
        <x:v>同时战略互动</x:v>
      </x:c>
      <x:c r="F38" s="42" t="str">
        <x:v>u_i效用；a_i行动</x:v>
      </x:c>
      <x:c r="G38" s="42" t="str">
        <x:v>参与者与信息结构明确</x:v>
      </x:c>
      <x:c r="H38" s="42" t="str">
        <x:v>存在、唯一、多均衡选择</x:v>
      </x:c>
      <x:c r="I38" s="42" t="str">
        <x:v>SymPy/Mathematica</x:v>
      </x:c>
      <x:c r="J38" s="43" t="str">
        <x:v>均衡是模型内结论，不自动是行为预测</x:v>
      </x:c>
    </x:row>
    <x:row r="39" ht="42" customHeight="1">
      <x:c r="A39" s="41" t="str">
        <x:v>GAME-02</x:v>
      </x:c>
      <x:c r="B39" s="42" t="str">
        <x:v>博弈</x:v>
      </x:c>
      <x:c r="C39" s="42" t="str">
        <x:v>Stackelberg 领导者问题</x:v>
      </x:c>
      <x:c r="D39" s="42" t="str">
        <x:v>\max_{a_L}u_L(a_L,a_F^*(a_L)),\quad a_F^*(a_L)\in\arg\max_{a_F}u_F(a_L,a_F)</x:v>
      </x:c>
      <x:c r="E39" s="42" t="str">
        <x:v>先行者与跟随者</x:v>
      </x:c>
      <x:c r="F39" s="42" t="str">
        <x:v>L领导者；F跟随者</x:v>
      </x:c>
      <x:c r="G39" s="42" t="str">
        <x:v>时序与承诺可信</x:v>
      </x:c>
      <x:c r="H39" s="42" t="str">
        <x:v>反应函数、边界解、多均衡</x:v>
      </x:c>
      <x:c r="I39" s="42" t="str">
        <x:v>bilevel/Pyomo</x:v>
      </x:c>
      <x:c r="J39" s="43" t="str">
        <x:v>错误时序会改变全部结论</x:v>
      </x:c>
    </x:row>
    <x:row r="40" ht="42" customHeight="1">
      <x:c r="A40" s="41" t="str">
        <x:v>GAME-03</x:v>
      </x:c>
      <x:c r="B40" s="42" t="str">
        <x:v>契约</x:v>
      </x:c>
      <x:c r="C40" s="42" t="str">
        <x:v>参与约束与激励相容</x:v>
      </x:c>
      <x:c r="D40" s="42" t="str">
        <x:v>EU_A(a^*,w)\ge\bar U,\quad a^*\in\arg\max_a EU_A(a,w)</x:v>
      </x:c>
      <x:c r="E40" s="42" t="str">
        <x:v>设计工资、分成、平台或供应链契约</x:v>
      </x:c>
      <x:c r="F40" s="42" t="str">
        <x:v>A代理人；w契约；U保留效用</x:v>
      </x:c>
      <x:c r="G40" s="42" t="str">
        <x:v>信息结构与可执行契约明确</x:v>
      </x:c>
      <x:c r="H40" s="42" t="str">
        <x:v>IR/IC、福利、风险分担</x:v>
      </x:c>
      <x:c r="I40" s="42" t="str">
        <x:v>符号/数值优化</x:v>
      </x:c>
      <x:c r="J40" s="43" t="str">
        <x:v>不要忽略有限责任与执行成本</x:v>
      </x:c>
    </x:row>
    <x:row r="41" ht="42" customHeight="1">
      <x:c r="A41" s="41" t="str">
        <x:v>DEMAND-01</x:v>
      </x:c>
      <x:c r="B41" s="42" t="str">
        <x:v>选择</x:v>
      </x:c>
      <x:c r="C41" s="42" t="str">
        <x:v>多项Logit</x:v>
      </x:c>
      <x:c r="D41" s="42" t="str">
        <x:v>P_{ij}=\frac{\exp(V_{ij})}{\sum_{k\in C_i}\exp(V_{ik})}</x:v>
      </x:c>
      <x:c r="E41" s="42" t="str">
        <x:v>多选一的偏好与需求</x:v>
      </x:c>
      <x:c r="F41" s="42" t="str">
        <x:v>V系统效用；C选择集</x:v>
      </x:c>
      <x:c r="G41" s="42" t="str">
        <x:v>IID极值误差导致IIA</x:v>
      </x:c>
      <x:c r="H41" s="42" t="str">
        <x:v>IIA、选择集、弹性、价格内生</x:v>
      </x:c>
      <x:c r="I41" s="42" t="str">
        <x:v>Biogeme/pylogit</x:v>
      </x:c>
      <x:c r="J41" s="43" t="str">
        <x:v>替代关系过强时用nested/mixed logit</x:v>
      </x:c>
    </x:row>
    <x:row r="42" ht="42" customHeight="1">
      <x:c r="A42" s="41" t="str">
        <x:v>TIME-01</x:v>
      </x:c>
      <x:c r="B42" s="42" t="str">
        <x:v>时序</x:v>
      </x:c>
      <x:c r="C42" s="42" t="str">
        <x:v>ARIMA</x:v>
      </x:c>
      <x:c r="D42" s="42" t="str">
        <x:v>\phi(B)(1-B)^d y_t=c+\theta(B)\varepsilon_t</x:v>
      </x:c>
      <x:c r="E42" s="42" t="str">
        <x:v>单变量时序预测</x:v>
      </x:c>
      <x:c r="F42" s="42" t="str">
        <x:v>B滞后算子；d差分阶数</x:v>
      </x:c>
      <x:c r="G42" s="42" t="str">
        <x:v>差分后平稳；残差白噪声</x:v>
      </x:c>
      <x:c r="H42" s="42" t="str">
        <x:v>ADF/KPSS、ACF、滚动回测</x:v>
      </x:c>
      <x:c r="I42" s="42" t="str">
        <x:v>statsmodels/fable</x:v>
      </x:c>
      <x:c r="J42" s="43" t="str">
        <x:v>不得随机切分训练测试</x:v>
      </x:c>
    </x:row>
    <x:row r="43" ht="42" customHeight="1">
      <x:c r="A43" s="41" t="str">
        <x:v>TIME-02</x:v>
      </x:c>
      <x:c r="B43" s="42" t="str">
        <x:v>时序</x:v>
      </x:c>
      <x:c r="C43" s="42" t="str">
        <x:v>VAR</x:v>
      </x:c>
      <x:c r="D43" s="42" t="str">
        <x:v>y_t=c+A_1y_{t-1}+\cdots+A_py_{t-p}+\varepsilon_t</x:v>
      </x:c>
      <x:c r="E43" s="42" t="str">
        <x:v>多变量动态、冲击与预测</x:v>
      </x:c>
      <x:c r="F43" s="42" t="str">
        <x:v>A_l滞后系数矩阵</x:v>
      </x:c>
      <x:c r="G43" s="42" t="str">
        <x:v>平稳或协整处理；滞后充分</x:v>
      </x:c>
      <x:c r="H43" s="42" t="str">
        <x:v>稳定性、残差、IRF识别</x:v>
      </x:c>
      <x:c r="I43" s="42" t="str">
        <x:v>statsmodels/vars</x:v>
      </x:c>
      <x:c r="J43" s="43" t="str">
        <x:v>IRF的因果解释依赖识别假设</x:v>
      </x:c>
    </x:row>
    <x:row r="44" ht="42" customHeight="1">
      <x:c r="A44" s="41" t="str">
        <x:v>ML-01</x:v>
      </x:c>
      <x:c r="B44" s="42" t="str">
        <x:v>机器学习</x:v>
      </x:c>
      <x:c r="C44" s="42" t="str">
        <x:v>经验风险最小化</x:v>
      </x:c>
      <x:c r="D44" s="42" t="str">
        <x:v>\hat f=\arg\min_{f\in\mathcal F}\frac1n\sum_i\ell(y_i,f(x_i))+\lambda\Omega(f)</x:v>
      </x:c>
      <x:c r="E44" s="42" t="str">
        <x:v>监督学习通用目标</x:v>
      </x:c>
      <x:c r="F44" s="42" t="str">
        <x:v>ℓ损失；Ω正则；λ强度</x:v>
      </x:c>
      <x:c r="G44" s="42" t="str">
        <x:v>训练与部署分布可比</x:v>
      </x:c>
      <x:c r="H44" s="42" t="str">
        <x:v>CV、学习曲线、校准、漂移</x:v>
      </x:c>
      <x:c r="I44" s="42" t="str">
        <x:v>scikit-learn/PyTorch</x:v>
      </x:c>
      <x:c r="J44" s="43" t="str">
        <x:v>测试集只用于最终一次评估</x:v>
      </x:c>
    </x:row>
    <x:row r="45" ht="42" customHeight="1">
      <x:c r="A45" s="41" t="str">
        <x:v>ML-02</x:v>
      </x:c>
      <x:c r="B45" s="42" t="str">
        <x:v>机器学习</x:v>
      </x:c>
      <x:c r="C45" s="42" t="str">
        <x:v>交叉熵</x:v>
      </x:c>
      <x:c r="D45" s="42" t="str">
        <x:v>\mathcal L=-\sum_i\sum_k y_{ik}\log p_{ik}</x:v>
      </x:c>
      <x:c r="E45" s="42" t="str">
        <x:v>多分类概率学习</x:v>
      </x:c>
      <x:c r="F45" s="42" t="str">
        <x:v>y one-hot；p预测概率</x:v>
      </x:c>
      <x:c r="G45" s="42" t="str">
        <x:v>标签和样本权重合理</x:v>
      </x:c>
      <x:c r="H45" s="42" t="str">
        <x:v>校准、类不平衡、ECE</x:v>
      </x:c>
      <x:c r="I45" s="42" t="str">
        <x:v>PyTorch/sklearn</x:v>
      </x:c>
      <x:c r="J45" s="43" t="str">
        <x:v>高准确率可能掩盖概率失准</x:v>
      </x:c>
    </x:row>
    <x:row r="46" ht="42" customHeight="1">
      <x:c r="A46" s="41" t="str">
        <x:v>ML-03</x:v>
      </x:c>
      <x:c r="B46" s="42" t="str">
        <x:v>深度学习</x:v>
      </x:c>
      <x:c r="C46" s="42" t="str">
        <x:v>LSTM 状态更新</x:v>
      </x:c>
      <x:c r="D46" s="42" t="str">
        <x:v>f_t=\sigma(W_f[x_t,h_{t-1}]+b_f),\;c_t=f_t\odot c_{t-1}+i_t\odot\tilde c_t</x:v>
      </x:c>
      <x:c r="E46" s="42" t="str">
        <x:v>序列与长依赖</x:v>
      </x:c>
      <x:c r="F46" s="42" t="str">
        <x:v>f遗忘门；c记忆；h隐状态</x:v>
      </x:c>
      <x:c r="G46" s="42" t="str">
        <x:v>序列切分无泄漏；数据量足够</x:v>
      </x:c>
      <x:c r="H46" s="42" t="str">
        <x:v>基线、消融、滚动回测</x:v>
      </x:c>
      <x:c r="I46" s="42" t="str">
        <x:v>PyTorch/Keras</x:v>
      </x:c>
      <x:c r="J46" s="43" t="str">
        <x:v>先与简单时序和树模型比较</x:v>
      </x:c>
    </x:row>
    <x:row r="47" ht="42" customHeight="1">
      <x:c r="A47" s="41" t="str">
        <x:v>ML-04</x:v>
      </x:c>
      <x:c r="B47" s="42" t="str">
        <x:v>深度学习</x:v>
      </x:c>
      <x:c r="C47" s="42" t="str">
        <x:v>缩放点积注意力</x:v>
      </x:c>
      <x:c r="D47" s="42" t="str">
        <x:v>Attention(Q,K,V)=softmax(QK'/\sqrt{d_k})V</x:v>
      </x:c>
      <x:c r="E47" s="42" t="str">
        <x:v>文本、多变量时序与关系表示</x:v>
      </x:c>
      <x:c r="F47" s="42" t="str">
        <x:v>Q查询；K键；V值</x:v>
      </x:c>
      <x:c r="G47" s="42" t="str">
        <x:v>位置/掩码和切分正确</x:v>
      </x:c>
      <x:c r="H47" s="42" t="str">
        <x:v>消融、归因稳定、长度外推</x:v>
      </x:c>
      <x:c r="I47" s="42" t="str">
        <x:v>transformers/PyTorch</x:v>
      </x:c>
      <x:c r="J47" s="43" t="str">
        <x:v>注意力权重不等同因果解释</x:v>
      </x:c>
    </x:row>
    <x:row r="48" ht="42" customHeight="1">
      <x:c r="A48" s="41" t="str">
        <x:v>ML-05</x:v>
      </x:c>
      <x:c r="B48" s="42" t="str">
        <x:v>强化学习</x:v>
      </x:c>
      <x:c r="C48" s="42" t="str">
        <x:v>Q-learning</x:v>
      </x:c>
      <x:c r="D48" s="42" t="str">
        <x:v>Q(s,a)\leftarrow Q(s,a)+\alpha[r+\gamma\max_{a'}Q(s',a')-Q(s,a)]</x:v>
      </x:c>
      <x:c r="E48" s="42" t="str">
        <x:v>未知转移下学习控制策略</x:v>
      </x:c>
      <x:c r="F48" s="42" t="str">
        <x:v>α学习率；γ折扣</x:v>
      </x:c>
      <x:c r="G48" s="42" t="str">
        <x:v>探索覆盖；近似马尔可夫</x:v>
      </x:c>
      <x:c r="H48" s="42" t="str">
        <x:v>离线价值、覆盖、收敛</x:v>
      </x:c>
      <x:c r="I48" s="42" t="str">
        <x:v>Gymnasium/SB3</x:v>
      </x:c>
      <x:c r="J48" s="43" t="str">
        <x:v>离线数据分布外动作会造成过估计</x:v>
      </x:c>
    </x:row>
    <x:row r="49" ht="42" customHeight="1">
      <x:c r="A49" s="41" t="str">
        <x:v>NET-01</x:v>
      </x:c>
      <x:c r="B49" s="42" t="str">
        <x:v>网络</x:v>
      </x:c>
      <x:c r="C49" s="42" t="str">
        <x:v>PageRank/特征向量中心性</x:v>
      </x:c>
      <x:c r="D49" s="42" t="str">
        <x:v>r=\alpha P'r+(1-\alpha)v</x:v>
      </x:c>
      <x:c r="E49" s="42" t="str">
        <x:v>识别网络中的结构性重要节点</x:v>
      </x:c>
      <x:c r="F49" s="42" t="str">
        <x:v>P转移；v跳转；α阻尼</x:v>
      </x:c>
      <x:c r="G49" s="42" t="str">
        <x:v>边方向/权重定义合理</x:v>
      </x:c>
      <x:c r="H49" s="42" t="str">
        <x:v>替代边、随机网络、稳定性</x:v>
      </x:c>
      <x:c r="I49" s="42" t="str">
        <x:v>NetworkX/igraph</x:v>
      </x:c>
      <x:c r="J49" s="43" t="str">
        <x:v>中心性是结构指标，不是因果影响</x:v>
      </x:c>
    </x:row>
    <x:row r="50" ht="42" customHeight="1">
      <x:c r="A50" s="41" t="str">
        <x:v>BAYES-01</x:v>
      </x:c>
      <x:c r="B50" s="42" t="str">
        <x:v>贝叶斯</x:v>
      </x:c>
      <x:c r="C50" s="42" t="str">
        <x:v>Bayes 后验</x:v>
      </x:c>
      <x:c r="D50" s="42" t="str">
        <x:v>p(\theta|y)=\frac{p(y|\theta)p(\theta)}{p(y)}\propto p(y|\theta)p(\theta)</x:v>
      </x:c>
      <x:c r="E50" s="42" t="str">
        <x:v>合并先验与数据并量化不确定性</x:v>
      </x:c>
      <x:c r="F50" s="42" t="str">
        <x:v>θ参数；y数据</x:v>
      </x:c>
      <x:c r="G50" s="42" t="str">
        <x:v>生成模型与先验可辩护</x:v>
      </x:c>
      <x:c r="H50" s="42" t="str">
        <x:v>R-hat、ESS、PPC、先验敏感</x:v>
      </x:c>
      <x:c r="I50" s="42" t="str">
        <x:v>PyMC/Stan</x:v>
      </x:c>
      <x:c r="J50" s="43" t="str">
        <x:v>后验可信度不修复错误的似然或数据</x:v>
      </x:c>
    </x:row>
    <x:row r="51" ht="42" customHeight="1">
      <x:c r="A51" s="44" t="str">
        <x:v>EFF-01</x:v>
      </x:c>
      <x:c r="B51" s="45" t="str">
        <x:v>效率分析</x:v>
      </x:c>
      <x:c r="C51" s="45" t="str">
        <x:v>DEA 输入导向CCR</x:v>
      </x:c>
      <x:c r="D51" s="45" t="str">
        <x:v>\min_{\theta,\lambda}\theta\;s.t.\;Y\lambda\ge y_o,\;X\lambda\le\theta x_o,\;\lambda\ge0</x:v>
      </x:c>
      <x:c r="E51" s="45" t="str">
        <x:v>多投入多产出相对效率</x:v>
      </x:c>
      <x:c r="F51" s="45" t="str">
        <x:v>DMU o；θ效率；λ参照组合</x:v>
      </x:c>
      <x:c r="G51" s="45" t="str">
        <x:v>同质DMU；投入产出口径可比；CRS</x:v>
      </x:c>
      <x:c r="H51" s="45" t="str">
        <x:v>规模报酬、异常点、权重敏感</x:v>
      </x:c>
      <x:c r="I51" s="45" t="str">
        <x:v>pyDEA/R Benchmarking</x:v>
      </x:c>
      <x:c r="J51" s="46" t="str">
        <x:v>相对前沿受样本和异常点强影响</x:v>
      </x:c>
    </x:row>
  </x:sheetData>
  <x:mergeCells>
    <x:mergeCell ref="A1:J1"/>
    <x:mergeCell ref="A2:J2"/>
  </x:mergeCells>
  <x:pageMargins left="0.7" right="0.7" top="0.75" bottom="0.75" header="0.3" footer="0.3"/>
  <x:tableParts count="1">
    <x:tablePart xmlns:r="http://schemas.openxmlformats.org/officeDocument/2006/relationships" r:id="Rd2b046166ba840c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48" hidden="0" customWidth="1"/>
    <x:col min="4" max="4" width="10" hidden="0" customWidth="1"/>
    <x:col min="5" max="5" width="10" hidden="0" customWidth="1"/>
    <x:col min="6" max="6" width="14" hidden="0" customWidth="1"/>
    <x:col min="7" max="7" width="18" hidden="0" customWidth="1"/>
    <x:col min="8" max="8" width="18" hidden="0" customWidth="1"/>
    <x:col min="9" max="9" width="16" hidden="0" customWidth="1"/>
    <x:col min="10" max="10" width="16" hidden="0" customWidth="1"/>
  </x:cols>
  <x:sheetData>
    <x:row r="1" ht="30" customHeight="1">
      <x:c r="A1" s="3" t="str">
        <x:v>Implementation Backlog</x:v>
      </x:c>
      <x:c r="B1" s="3"/>
      <x:c r="C1" s="3"/>
      <x:c r="D1" s="3"/>
      <x:c r="E1" s="3"/>
      <x:c r="F1" s="3"/>
      <x:c r="G1" s="3"/>
      <x:c r="H1" s="3"/>
      <x:c r="I1" s="3"/>
      <x:c r="J1" s="3"/>
    </x:row>
    <x:row r="2" ht="30" customHeight="1">
      <x:c r="A2" s="7" t="str">
        <x:v>80 sequenced tasks mapped to the 24-week roadmap, including Topic Scout, human revision/approval, S0–S9 stage agents, and the Stata Workbench. Edit Status and Owner Role; acceptance tests remain the exit condition.</x:v>
      </x:c>
      <x:c r="B2" s="7"/>
      <x:c r="C2" s="7"/>
      <x:c r="D2" s="7"/>
      <x:c r="E2" s="7"/>
      <x:c r="F2" s="7"/>
      <x:c r="G2" s="7"/>
      <x:c r="H2" s="7"/>
      <x:c r="I2" s="7"/>
      <x:c r="J2" s="7"/>
    </x:row>
    <x:row r="4" ht="32" customHeight="1">
      <x:c r="A4" s="16" t="str">
        <x:v>ID</x:v>
      </x:c>
      <x:c r="B4" s="17" t="str">
        <x:v>Epic</x:v>
      </x:c>
      <x:c r="C4" s="17" t="str">
        <x:v>Title</x:v>
      </x:c>
      <x:c r="D4" s="17" t="str">
        <x:v>Priority</x:v>
      </x:c>
      <x:c r="E4" s="17" t="str">
        <x:v>Phase</x:v>
      </x:c>
      <x:c r="F4" s="17" t="str">
        <x:v>Estimate Days</x:v>
      </x:c>
      <x:c r="G4" s="17" t="str">
        <x:v>Depends On</x:v>
      </x:c>
      <x:c r="H4" s="17" t="str">
        <x:v>Acceptance Test</x:v>
      </x:c>
      <x:c r="I4" s="17" t="str">
        <x:v>Owner Role</x:v>
      </x:c>
      <x:c r="J4" s="18" t="str">
        <x:v>Status</x:v>
      </x:c>
    </x:row>
    <x:row r="5" ht="42" customHeight="1">
      <x:c r="A5" s="38" t="str">
        <x:v>B001</x:v>
      </x:c>
      <x:c r="B5" s="39" t="str">
        <x:v>Foundation</x:v>
      </x:c>
      <x:c r="C5" s="39" t="str">
        <x:v>Add dev dependencies lockfile and CI</x:v>
      </x:c>
      <x:c r="D5" s="39" t="str">
        <x:v>P0</x:v>
      </x:c>
      <x:c r="E5" s="39" t="str">
        <x:v>W1</x:v>
      </x:c>
      <x:c r="F5" s="47" t="n">
        <x:v>2</x:v>
      </x:c>
      <x:c r="G5" s="39" t="str"/>
      <x:c r="H5" s="39" t="str">
        <x:v>A01</x:v>
      </x:c>
      <x:c r="I5" s="39" t="str">
        <x:v>Backend</x:v>
      </x:c>
      <x:c r="J5" s="40" t="str">
        <x:v>Not Started</x:v>
      </x:c>
    </x:row>
    <x:row r="6" ht="42" customHeight="1">
      <x:c r="A6" s="41" t="str">
        <x:v>B002</x:v>
      </x:c>
      <x:c r="B6" s="42" t="str">
        <x:v>Foundation</x:v>
      </x:c>
      <x:c r="C6" s="42" t="str">
        <x:v>Record baseline commit and smoke run</x:v>
      </x:c>
      <x:c r="D6" s="42" t="str">
        <x:v>P0</x:v>
      </x:c>
      <x:c r="E6" s="42" t="str">
        <x:v>W1</x:v>
      </x:c>
      <x:c r="F6" s="48" t="n">
        <x:v>1</x:v>
      </x:c>
      <x:c r="G6" s="42" t="str"/>
      <x:c r="H6" s="42" t="str">
        <x:v>A02</x:v>
      </x:c>
      <x:c r="I6" s="42" t="str">
        <x:v>Backend</x:v>
      </x:c>
      <x:c r="J6" s="43" t="str">
        <x:v>Not Started</x:v>
      </x:c>
    </x:row>
    <x:row r="7" ht="42" customHeight="1">
      <x:c r="A7" s="41" t="str">
        <x:v>B003</x:v>
      </x:c>
      <x:c r="B7" s="42" t="str">
        <x:v>Domain</x:v>
      </x:c>
      <x:c r="C7" s="42" t="str">
        <x:v>Create DomainProfile protocol</x:v>
      </x:c>
      <x:c r="D7" s="42" t="str">
        <x:v>P0</x:v>
      </x:c>
      <x:c r="E7" s="42" t="str">
        <x:v>W1</x:v>
      </x:c>
      <x:c r="F7" s="48" t="n">
        <x:v>2</x:v>
      </x:c>
      <x:c r="G7" s="42" t="str">
        <x:v>B001</x:v>
      </x:c>
      <x:c r="H7" s="42" t="str">
        <x:v>A01</x:v>
      </x:c>
      <x:c r="I7" s="42" t="str">
        <x:v>Agent</x:v>
      </x:c>
      <x:c r="J7" s="43" t="str">
        <x:v>Not Started</x:v>
      </x:c>
    </x:row>
    <x:row r="8" ht="42" customHeight="1">
      <x:c r="A8" s="41" t="str">
        <x:v>B004</x:v>
      </x:c>
      <x:c r="B8" s="42" t="str">
        <x:v>Domain</x:v>
      </x:c>
      <x:c r="C8" s="42" t="str">
        <x:v>Remove RIS and ISAC hardcoded query expansion</x:v>
      </x:c>
      <x:c r="D8" s="42" t="str">
        <x:v>P0</x:v>
      </x:c>
      <x:c r="E8" s="42" t="str">
        <x:v>W1</x:v>
      </x:c>
      <x:c r="F8" s="48" t="n">
        <x:v>1</x:v>
      </x:c>
      <x:c r="G8" s="42" t="str">
        <x:v>B003</x:v>
      </x:c>
      <x:c r="H8" s="42" t="str">
        <x:v>A01</x:v>
      </x:c>
      <x:c r="I8" s="42" t="str">
        <x:v>Agent</x:v>
      </x:c>
      <x:c r="J8" s="43" t="str">
        <x:v>Not Started</x:v>
      </x:c>
    </x:row>
    <x:row r="9" ht="42" customHeight="1">
      <x:c r="A9" s="41" t="str">
        <x:v>B005</x:v>
      </x:c>
      <x:c r="B9" s="42" t="str">
        <x:v>Domain</x:v>
      </x:c>
      <x:c r="C9" s="42" t="str">
        <x:v>Remove telecom hardcoded relevance scoring</x:v>
      </x:c>
      <x:c r="D9" s="42" t="str">
        <x:v>P0</x:v>
      </x:c>
      <x:c r="E9" s="42" t="str">
        <x:v>W1</x:v>
      </x:c>
      <x:c r="F9" s="48" t="n">
        <x:v>1</x:v>
      </x:c>
      <x:c r="G9" s="42" t="str">
        <x:v>B003</x:v>
      </x:c>
      <x:c r="H9" s="42" t="str">
        <x:v>A01</x:v>
      </x:c>
      <x:c r="I9" s="42" t="str">
        <x:v>Agent</x:v>
      </x:c>
      <x:c r="J9" s="43" t="str">
        <x:v>Not Started</x:v>
      </x:c>
    </x:row>
    <x:row r="10" ht="42" customHeight="1">
      <x:c r="A10" s="41" t="str">
        <x:v>B006</x:v>
      </x:c>
      <x:c r="B10" s="42" t="str">
        <x:v>Domain</x:v>
      </x:c>
      <x:c r="C10" s="42" t="str">
        <x:v>Replace hardcoded synthesis clusters with taxonomy interface</x:v>
      </x:c>
      <x:c r="D10" s="42" t="str">
        <x:v>P0</x:v>
      </x:c>
      <x:c r="E10" s="42" t="str">
        <x:v>W2</x:v>
      </x:c>
      <x:c r="F10" s="48" t="n">
        <x:v>2</x:v>
      </x:c>
      <x:c r="G10" s="42" t="str">
        <x:v>B003</x:v>
      </x:c>
      <x:c r="H10" s="42" t="str">
        <x:v>A01</x:v>
      </x:c>
      <x:c r="I10" s="42" t="str">
        <x:v>Agent</x:v>
      </x:c>
      <x:c r="J10" s="43" t="str">
        <x:v>Not Started</x:v>
      </x:c>
    </x:row>
    <x:row r="11" ht="42" customHeight="1">
      <x:c r="A11" s="41" t="str">
        <x:v>B007</x:v>
      </x:c>
      <x:c r="B11" s="42" t="str">
        <x:v>Evaluation</x:v>
      </x:c>
      <x:c r="C11" s="42" t="str">
        <x:v>Create three management-science benchmark fixtures</x:v>
      </x:c>
      <x:c r="D11" s="42" t="str">
        <x:v>P0</x:v>
      </x:c>
      <x:c r="E11" s="42" t="str">
        <x:v>W1</x:v>
      </x:c>
      <x:c r="F11" s="48" t="n">
        <x:v>2</x:v>
      </x:c>
      <x:c r="G11" s="42" t="str">
        <x:v>B001</x:v>
      </x:c>
      <x:c r="H11" s="42" t="str">
        <x:v>A01</x:v>
      </x:c>
      <x:c r="I11" s="42" t="str">
        <x:v>Research</x:v>
      </x:c>
      <x:c r="J11" s="43" t="str">
        <x:v>Not Started</x:v>
      </x:c>
    </x:row>
    <x:row r="12" ht="42" customHeight="1">
      <x:c r="A12" s="41" t="str">
        <x:v>B008</x:v>
      </x:c>
      <x:c r="B12" s="42" t="str">
        <x:v>Protocol</x:v>
      </x:c>
      <x:c r="C12" s="42" t="str">
        <x:v>Implement ResearchProtocol Pydantic models</x:v>
      </x:c>
      <x:c r="D12" s="42" t="str">
        <x:v>P0</x:v>
      </x:c>
      <x:c r="E12" s="42" t="str">
        <x:v>W2</x:v>
      </x:c>
      <x:c r="F12" s="48" t="n">
        <x:v>3</x:v>
      </x:c>
      <x:c r="G12" s="42" t="str">
        <x:v>B003</x:v>
      </x:c>
      <x:c r="H12" s="42" t="str">
        <x:v>A02</x:v>
      </x:c>
      <x:c r="I12" s="42" t="str">
        <x:v>Backend</x:v>
      </x:c>
      <x:c r="J12" s="43" t="str">
        <x:v>Not Started</x:v>
      </x:c>
    </x:row>
    <x:row r="13" ht="42" customHeight="1">
      <x:c r="A13" s="41" t="str">
        <x:v>B009</x:v>
      </x:c>
      <x:c r="B13" s="42" t="str">
        <x:v>Protocol</x:v>
      </x:c>
      <x:c r="C13" s="42" t="str">
        <x:v>Implement legacy ResearchRequest adapter</x:v>
      </x:c>
      <x:c r="D13" s="42" t="str">
        <x:v>P0</x:v>
      </x:c>
      <x:c r="E13" s="42" t="str">
        <x:v>W2</x:v>
      </x:c>
      <x:c r="F13" s="48" t="n">
        <x:v>2</x:v>
      </x:c>
      <x:c r="G13" s="42" t="str">
        <x:v>B008</x:v>
      </x:c>
      <x:c r="H13" s="42" t="str">
        <x:v>A02</x:v>
      </x:c>
      <x:c r="I13" s="42" t="str">
        <x:v>Backend</x:v>
      </x:c>
      <x:c r="J13" s="43" t="str">
        <x:v>Not Started</x:v>
      </x:c>
    </x:row>
    <x:row r="14" ht="42" customHeight="1">
      <x:c r="A14" s="41" t="str">
        <x:v>B010</x:v>
      </x:c>
      <x:c r="B14" s="42" t="str">
        <x:v>Protocol</x:v>
      </x:c>
      <x:c r="C14" s="42" t="str">
        <x:v>Implement immutable protocol versions and G1 approval</x:v>
      </x:c>
      <x:c r="D14" s="42" t="str">
        <x:v>P0</x:v>
      </x:c>
      <x:c r="E14" s="42" t="str">
        <x:v>W3</x:v>
      </x:c>
      <x:c r="F14" s="48" t="n">
        <x:v>3</x:v>
      </x:c>
      <x:c r="G14" s="42" t="str">
        <x:v>B008</x:v>
      </x:c>
      <x:c r="H14" s="42" t="str">
        <x:v>A08</x:v>
      </x:c>
      <x:c r="I14" s="42" t="str">
        <x:v>Backend</x:v>
      </x:c>
      <x:c r="J14" s="43" t="str">
        <x:v>Not Started</x:v>
      </x:c>
    </x:row>
    <x:row r="15" ht="42" customHeight="1">
      <x:c r="A15" s="41" t="str">
        <x:v>B011</x:v>
      </x:c>
      <x:c r="B15" s="42" t="str">
        <x:v>Literature</x:v>
      </x:c>
      <x:c r="C15" s="42" t="str">
        <x:v>Split literature backends into adapters</x:v>
      </x:c>
      <x:c r="D15" s="42" t="str">
        <x:v>P0</x:v>
      </x:c>
      <x:c r="E15" s="42" t="str">
        <x:v>W3</x:v>
      </x:c>
      <x:c r="F15" s="48" t="n">
        <x:v>3</x:v>
      </x:c>
      <x:c r="G15" s="42" t="str">
        <x:v>B001</x:v>
      </x:c>
      <x:c r="H15" s="42" t="str">
        <x:v>A03</x:v>
      </x:c>
      <x:c r="I15" s="42" t="str">
        <x:v>Backend</x:v>
      </x:c>
      <x:c r="J15" s="43" t="str">
        <x:v>Not Started</x:v>
      </x:c>
    </x:row>
    <x:row r="16" ht="42" customHeight="1">
      <x:c r="A16" s="41" t="str">
        <x:v>B012</x:v>
      </x:c>
      <x:c r="B16" s="42" t="str">
        <x:v>Literature</x:v>
      </x:c>
      <x:c r="C16" s="42" t="str">
        <x:v>Implement multi-source union search</x:v>
      </x:c>
      <x:c r="D16" s="42" t="str">
        <x:v>P0</x:v>
      </x:c>
      <x:c r="E16" s="42" t="str">
        <x:v>W3</x:v>
      </x:c>
      <x:c r="F16" s="48" t="n">
        <x:v>3</x:v>
      </x:c>
      <x:c r="G16" s="42" t="str">
        <x:v>B011</x:v>
      </x:c>
      <x:c r="H16" s="42" t="str">
        <x:v>A03</x:v>
      </x:c>
      <x:c r="I16" s="42" t="str">
        <x:v>Backend</x:v>
      </x:c>
      <x:c r="J16" s="43" t="str">
        <x:v>Not Started</x:v>
      </x:c>
    </x:row>
    <x:row r="17" ht="42" customHeight="1">
      <x:c r="A17" s="41" t="str">
        <x:v>B013</x:v>
      </x:c>
      <x:c r="B17" s="42" t="str">
        <x:v>Literature</x:v>
      </x:c>
      <x:c r="C17" s="42" t="str">
        <x:v>Implement DOI title author year dedupe</x:v>
      </x:c>
      <x:c r="D17" s="42" t="str">
        <x:v>P0</x:v>
      </x:c>
      <x:c r="E17" s="42" t="str">
        <x:v>W4</x:v>
      </x:c>
      <x:c r="F17" s="48" t="n">
        <x:v>3</x:v>
      </x:c>
      <x:c r="G17" s="42" t="str">
        <x:v>B012</x:v>
      </x:c>
      <x:c r="H17" s="42" t="str">
        <x:v>A04</x:v>
      </x:c>
      <x:c r="I17" s="42" t="str">
        <x:v>Backend</x:v>
      </x:c>
      <x:c r="J17" s="43" t="str">
        <x:v>Not Started</x:v>
      </x:c>
    </x:row>
    <x:row r="18" ht="42" customHeight="1">
      <x:c r="A18" s="41" t="str">
        <x:v>B014</x:v>
      </x:c>
      <x:c r="B18" s="42" t="str">
        <x:v>Literature</x:v>
      </x:c>
      <x:c r="C18" s="42" t="str">
        <x:v>Preserve preprint and published-version relations</x:v>
      </x:c>
      <x:c r="D18" s="42" t="str">
        <x:v>P1</x:v>
      </x:c>
      <x:c r="E18" s="42" t="str">
        <x:v>W4</x:v>
      </x:c>
      <x:c r="F18" s="48" t="n">
        <x:v>2</x:v>
      </x:c>
      <x:c r="G18" s="42" t="str">
        <x:v>B013</x:v>
      </x:c>
      <x:c r="H18" s="42" t="str">
        <x:v>A04</x:v>
      </x:c>
      <x:c r="I18" s="42" t="str">
        <x:v>Backend</x:v>
      </x:c>
      <x:c r="J18" s="43" t="str">
        <x:v>Not Started</x:v>
      </x:c>
    </x:row>
    <x:row r="19" ht="42" customHeight="1">
      <x:c r="A19" s="41" t="str">
        <x:v>B015</x:v>
      </x:c>
      <x:c r="B19" s="42" t="str">
        <x:v>Literature</x:v>
      </x:c>
      <x:c r="C19" s="42" t="str">
        <x:v>Store search protocol backend counts and raw snapshots</x:v>
      </x:c>
      <x:c r="D19" s="42" t="str">
        <x:v>P0</x:v>
      </x:c>
      <x:c r="E19" s="42" t="str">
        <x:v>W4</x:v>
      </x:c>
      <x:c r="F19" s="48" t="n">
        <x:v>2</x:v>
      </x:c>
      <x:c r="G19" s="42" t="str">
        <x:v>B012</x:v>
      </x:c>
      <x:c r="H19" s="42" t="str">
        <x:v>A03</x:v>
      </x:c>
      <x:c r="I19" s="42" t="str">
        <x:v>Backend</x:v>
      </x:c>
      <x:c r="J19" s="43" t="str">
        <x:v>Not Started</x:v>
      </x:c>
    </x:row>
    <x:row r="20" ht="42" customHeight="1">
      <x:c r="A20" s="41" t="str">
        <x:v>B016</x:v>
      </x:c>
      <x:c r="B20" s="42" t="str">
        <x:v>Extraction</x:v>
      </x:c>
      <x:c r="C20" s="42" t="str">
        <x:v>Implement PaperCard v2 schema with locators</x:v>
      </x:c>
      <x:c r="D20" s="42" t="str">
        <x:v>P0</x:v>
      </x:c>
      <x:c r="E20" s="42" t="str">
        <x:v>W5</x:v>
      </x:c>
      <x:c r="F20" s="48" t="n">
        <x:v>4</x:v>
      </x:c>
      <x:c r="G20" s="42" t="str">
        <x:v>B013</x:v>
      </x:c>
      <x:c r="H20" s="42" t="str">
        <x:v>A06</x:v>
      </x:c>
      <x:c r="I20" s="42" t="str">
        <x:v>NLP</x:v>
      </x:c>
      <x:c r="J20" s="43" t="str">
        <x:v>Not Started</x:v>
      </x:c>
    </x:row>
    <x:row r="21" ht="42" customHeight="1">
      <x:c r="A21" s="41" t="str">
        <x:v>B017</x:v>
      </x:c>
      <x:c r="B21" s="42" t="str">
        <x:v>Extraction</x:v>
      </x:c>
      <x:c r="C21" s="42" t="str">
        <x:v>Add evidence level confidence and review queue</x:v>
      </x:c>
      <x:c r="D21" s="42" t="str">
        <x:v>P0</x:v>
      </x:c>
      <x:c r="E21" s="42" t="str">
        <x:v>W5</x:v>
      </x:c>
      <x:c r="F21" s="48" t="n">
        <x:v>3</x:v>
      </x:c>
      <x:c r="G21" s="42" t="str">
        <x:v>B016</x:v>
      </x:c>
      <x:c r="H21" s="42" t="str">
        <x:v>A06</x:v>
      </x:c>
      <x:c r="I21" s="42" t="str">
        <x:v>NLP</x:v>
      </x:c>
      <x:c r="J21" s="43" t="str">
        <x:v>Not Started</x:v>
      </x:c>
    </x:row>
    <x:row r="22" ht="42" customHeight="1">
      <x:c r="A22" s="41" t="str">
        <x:v>B018</x:v>
      </x:c>
      <x:c r="B22" s="42" t="str">
        <x:v>Extraction</x:v>
      </x:c>
      <x:c r="C22" s="42" t="str">
        <x:v>Add GROBID full-text parsing adapter</x:v>
      </x:c>
      <x:c r="D22" s="42" t="str">
        <x:v>P1</x:v>
      </x:c>
      <x:c r="E22" s="42" t="str">
        <x:v>W6</x:v>
      </x:c>
      <x:c r="F22" s="48" t="n">
        <x:v>4</x:v>
      </x:c>
      <x:c r="G22" s="42" t="str">
        <x:v>B016</x:v>
      </x:c>
      <x:c r="H22" s="42" t="str">
        <x:v>A06</x:v>
      </x:c>
      <x:c r="I22" s="42" t="str">
        <x:v>NLP</x:v>
      </x:c>
      <x:c r="J22" s="43" t="str">
        <x:v>Not Started</x:v>
      </x:c>
    </x:row>
    <x:row r="23" ht="42" customHeight="1">
      <x:c r="A23" s="41" t="str">
        <x:v>B019</x:v>
      </x:c>
      <x:c r="B23" s="42" t="str">
        <x:v>Artifacts</x:v>
      </x:c>
      <x:c r="C23" s="42" t="str">
        <x:v>Implement artifact manifest hash and lineage</x:v>
      </x:c>
      <x:c r="D23" s="42" t="str">
        <x:v>P0</x:v>
      </x:c>
      <x:c r="E23" s="42" t="str">
        <x:v>W5</x:v>
      </x:c>
      <x:c r="F23" s="48" t="n">
        <x:v>3</x:v>
      </x:c>
      <x:c r="G23" s="42" t="str">
        <x:v>B008</x:v>
      </x:c>
      <x:c r="H23" s="42" t="str">
        <x:v>A11</x:v>
      </x:c>
      <x:c r="I23" s="42" t="str">
        <x:v>Backend</x:v>
      </x:c>
      <x:c r="J23" s="43" t="str">
        <x:v>Not Started</x:v>
      </x:c>
    </x:row>
    <x:row r="24" ht="42" customHeight="1">
      <x:c r="A24" s="41" t="str">
        <x:v>B020</x:v>
      </x:c>
      <x:c r="B24" s="42" t="str">
        <x:v>Gates</x:v>
      </x:c>
      <x:c r="C24" s="42" t="str">
        <x:v>Implement common gate registry</x:v>
      </x:c>
      <x:c r="D24" s="42" t="str">
        <x:v>P0</x:v>
      </x:c>
      <x:c r="E24" s="42" t="str">
        <x:v>W6</x:v>
      </x:c>
      <x:c r="F24" s="48" t="n">
        <x:v>3</x:v>
      </x:c>
      <x:c r="G24" s="42" t="str">
        <x:v>B008|B019</x:v>
      </x:c>
      <x:c r="H24" s="42" t="str">
        <x:v>A08</x:v>
      </x:c>
      <x:c r="I24" s="42" t="str">
        <x:v>Backend</x:v>
      </x:c>
      <x:c r="J24" s="43" t="str">
        <x:v>Not Started</x:v>
      </x:c>
    </x:row>
    <x:row r="25" ht="42" customHeight="1">
      <x:c r="A25" s="41" t="str">
        <x:v>B021</x:v>
      </x:c>
      <x:c r="B25" s="42" t="str">
        <x:v>Gates</x:v>
      </x:c>
      <x:c r="C25" s="42" t="str">
        <x:v>Implement empirical and causal gates</x:v>
      </x:c>
      <x:c r="D25" s="42" t="str">
        <x:v>P0</x:v>
      </x:c>
      <x:c r="E25" s="42" t="str">
        <x:v>W8</x:v>
      </x:c>
      <x:c r="F25" s="48" t="n">
        <x:v>4</x:v>
      </x:c>
      <x:c r="G25" s="42" t="str">
        <x:v>B020</x:v>
      </x:c>
      <x:c r="H25" s="42" t="str">
        <x:v>A12</x:v>
      </x:c>
      <x:c r="I25" s="42" t="str">
        <x:v>Method</x:v>
      </x:c>
      <x:c r="J25" s="43" t="str">
        <x:v>Not Started</x:v>
      </x:c>
    </x:row>
    <x:row r="26" ht="42" customHeight="1">
      <x:c r="A26" s="41" t="str">
        <x:v>B022</x:v>
      </x:c>
      <x:c r="B26" s="42" t="str">
        <x:v>Gates</x:v>
      </x:c>
      <x:c r="C26" s="42" t="str">
        <x:v>Implement analytical and optimization gates</x:v>
      </x:c>
      <x:c r="D26" s="42" t="str">
        <x:v>P0</x:v>
      </x:c>
      <x:c r="E26" s="42" t="str">
        <x:v>W8</x:v>
      </x:c>
      <x:c r="F26" s="48" t="n">
        <x:v>4</x:v>
      </x:c>
      <x:c r="G26" s="42" t="str">
        <x:v>B020</x:v>
      </x:c>
      <x:c r="H26" s="42" t="str">
        <x:v>A13</x:v>
      </x:c>
      <x:c r="I26" s="42" t="str">
        <x:v>Method</x:v>
      </x:c>
      <x:c r="J26" s="43" t="str">
        <x:v>Not Started</x:v>
      </x:c>
    </x:row>
    <x:row r="27" ht="42" customHeight="1">
      <x:c r="A27" s="41" t="str">
        <x:v>B023</x:v>
      </x:c>
      <x:c r="B27" s="42" t="str">
        <x:v>Gates</x:v>
      </x:c>
      <x:c r="C27" s="42" t="str">
        <x:v>Implement predictive and computational gates</x:v>
      </x:c>
      <x:c r="D27" s="42" t="str">
        <x:v>P0</x:v>
      </x:c>
      <x:c r="E27" s="42" t="str">
        <x:v>W9</x:v>
      </x:c>
      <x:c r="F27" s="48" t="n">
        <x:v>4</x:v>
      </x:c>
      <x:c r="G27" s="42" t="str">
        <x:v>B020</x:v>
      </x:c>
      <x:c r="H27" s="42" t="str">
        <x:v>A14</x:v>
      </x:c>
      <x:c r="I27" s="42" t="str">
        <x:v>Method</x:v>
      </x:c>
      <x:c r="J27" s="43" t="str">
        <x:v>Not Started</x:v>
      </x:c>
    </x:row>
    <x:row r="28" ht="42" customHeight="1">
      <x:c r="A28" s="41" t="str">
        <x:v>B024</x:v>
      </x:c>
      <x:c r="B28" s="42" t="str">
        <x:v>Knowledge</x:v>
      </x:c>
      <x:c r="C28" s="42" t="str">
        <x:v>Load method formula and data-source registries</x:v>
      </x:c>
      <x:c r="D28" s="42" t="str">
        <x:v>P0</x:v>
      </x:c>
      <x:c r="E28" s="42" t="str">
        <x:v>W7</x:v>
      </x:c>
      <x:c r="F28" s="48" t="n">
        <x:v>2</x:v>
      </x:c>
      <x:c r="G28" s="42" t="str">
        <x:v>B008</x:v>
      </x:c>
      <x:c r="H28" s="42" t="str">
        <x:v>A07</x:v>
      </x:c>
      <x:c r="I28" s="42" t="str">
        <x:v>Backend</x:v>
      </x:c>
      <x:c r="J28" s="43" t="str">
        <x:v>Not Started</x:v>
      </x:c>
    </x:row>
    <x:row r="29" ht="42" customHeight="1">
      <x:c r="A29" s="41" t="str">
        <x:v>B025</x:v>
      </x:c>
      <x:c r="B29" s="42" t="str">
        <x:v>Knowledge</x:v>
      </x:c>
      <x:c r="C29" s="42" t="str">
        <x:v>Implement Design Advisor comparison and blocking</x:v>
      </x:c>
      <x:c r="D29" s="42" t="str">
        <x:v>P0</x:v>
      </x:c>
      <x:c r="E29" s="42" t="str">
        <x:v>W8</x:v>
      </x:c>
      <x:c r="F29" s="48" t="n">
        <x:v>4</x:v>
      </x:c>
      <x:c r="G29" s="42" t="str">
        <x:v>B024</x:v>
      </x:c>
      <x:c r="H29" s="42" t="str">
        <x:v>A07</x:v>
      </x:c>
      <x:c r="I29" s="42" t="str">
        <x:v>Agent</x:v>
      </x:c>
      <x:c r="J29" s="43" t="str">
        <x:v>Not Started</x:v>
      </x:c>
    </x:row>
    <x:row r="30" ht="42" customHeight="1">
      <x:c r="A30" s="41" t="str">
        <x:v>B026</x:v>
      </x:c>
      <x:c r="B30" s="42" t="str">
        <x:v>Evidence</x:v>
      </x:c>
      <x:c r="C30" s="42" t="str">
        <x:v>Implement Claim Evidence Assumption tables</x:v>
      </x:c>
      <x:c r="D30" s="42" t="str">
        <x:v>P0</x:v>
      </x:c>
      <x:c r="E30" s="42" t="str">
        <x:v>W9</x:v>
      </x:c>
      <x:c r="F30" s="48" t="n">
        <x:v>4</x:v>
      </x:c>
      <x:c r="G30" s="42" t="str">
        <x:v>B019</x:v>
      </x:c>
      <x:c r="H30" s="42" t="str">
        <x:v>A15</x:v>
      </x:c>
      <x:c r="I30" s="42" t="str">
        <x:v>Backend</x:v>
      </x:c>
      <x:c r="J30" s="43" t="str">
        <x:v>Not Started</x:v>
      </x:c>
    </x:row>
    <x:row r="31" ht="42" customHeight="1">
      <x:c r="A31" s="41" t="str">
        <x:v>B027</x:v>
      </x:c>
      <x:c r="B31" s="42" t="str">
        <x:v>API</x:v>
      </x:c>
      <x:c r="C31" s="42" t="str">
        <x:v>Create FastAPI project protocol and search endpoints</x:v>
      </x:c>
      <x:c r="D31" s="42" t="str">
        <x:v>P0</x:v>
      </x:c>
      <x:c r="E31" s="42" t="str">
        <x:v>W4</x:v>
      </x:c>
      <x:c r="F31" s="48" t="n">
        <x:v>5</x:v>
      </x:c>
      <x:c r="G31" s="42" t="str">
        <x:v>B010|B012</x:v>
      </x:c>
      <x:c r="H31" s="42" t="str">
        <x:v>A03</x:v>
      </x:c>
      <x:c r="I31" s="42" t="str">
        <x:v>Backend</x:v>
      </x:c>
      <x:c r="J31" s="43" t="str">
        <x:v>Not Started</x:v>
      </x:c>
    </x:row>
    <x:row r="32" ht="42" customHeight="1">
      <x:c r="A32" s="41" t="str">
        <x:v>B028</x:v>
      </x:c>
      <x:c r="B32" s="42" t="str">
        <x:v>Web</x:v>
      </x:c>
      <x:c r="C32" s="42" t="str">
        <x:v>Build Project and Research Canvas pages</x:v>
      </x:c>
      <x:c r="D32" s="42" t="str">
        <x:v>P1</x:v>
      </x:c>
      <x:c r="E32" s="42" t="str">
        <x:v>W5</x:v>
      </x:c>
      <x:c r="F32" s="48" t="n">
        <x:v>5</x:v>
      </x:c>
      <x:c r="G32" s="42" t="str">
        <x:v>B027</x:v>
      </x:c>
      <x:c r="H32" s="42" t="str">
        <x:v>A08</x:v>
      </x:c>
      <x:c r="I32" s="42" t="str">
        <x:v>Frontend</x:v>
      </x:c>
      <x:c r="J32" s="43" t="str">
        <x:v>Not Started</x:v>
      </x:c>
    </x:row>
    <x:row r="33" ht="42" customHeight="1">
      <x:c r="A33" s="41" t="str">
        <x:v>B029</x:v>
      </x:c>
      <x:c r="B33" s="42" t="str">
        <x:v>Web</x:v>
      </x:c>
      <x:c r="C33" s="42" t="str">
        <x:v>Build Literature screening table</x:v>
      </x:c>
      <x:c r="D33" s="42" t="str">
        <x:v>P1</x:v>
      </x:c>
      <x:c r="E33" s="42" t="str">
        <x:v>W6</x:v>
      </x:c>
      <x:c r="F33" s="48" t="n">
        <x:v>5</x:v>
      </x:c>
      <x:c r="G33" s="42" t="str">
        <x:v>B027|B013</x:v>
      </x:c>
      <x:c r="H33" s="42" t="str">
        <x:v>A04</x:v>
      </x:c>
      <x:c r="I33" s="42" t="str">
        <x:v>Frontend</x:v>
      </x:c>
      <x:c r="J33" s="43" t="str">
        <x:v>Not Started</x:v>
      </x:c>
    </x:row>
    <x:row r="34" ht="42" customHeight="1">
      <x:c r="A34" s="41" t="str">
        <x:v>B030</x:v>
      </x:c>
      <x:c r="B34" s="42" t="str">
        <x:v>Web</x:v>
      </x:c>
      <x:c r="C34" s="42" t="str">
        <x:v>Build Method Data and Evidence tables</x:v>
      </x:c>
      <x:c r="D34" s="42" t="str">
        <x:v>P1</x:v>
      </x:c>
      <x:c r="E34" s="42" t="str">
        <x:v>W10</x:v>
      </x:c>
      <x:c r="F34" s="48" t="n">
        <x:v>6</x:v>
      </x:c>
      <x:c r="G34" s="42" t="str">
        <x:v>B024|B026</x:v>
      </x:c>
      <x:c r="H34" s="42" t="str">
        <x:v>A15</x:v>
      </x:c>
      <x:c r="I34" s="42" t="str">
        <x:v>Frontend</x:v>
      </x:c>
      <x:c r="J34" s="43" t="str">
        <x:v>Not Started</x:v>
      </x:c>
    </x:row>
    <x:row r="35" ht="42" customHeight="1">
      <x:c r="A35" s="41" t="str">
        <x:v>B031</x:v>
      </x:c>
      <x:c r="B35" s="42" t="str">
        <x:v>Compute</x:v>
      </x:c>
      <x:c r="C35" s="42" t="str">
        <x:v>Build no-network Python OCI sandbox</x:v>
      </x:c>
      <x:c r="D35" s="42" t="str">
        <x:v>P0</x:v>
      </x:c>
      <x:c r="E35" s="42" t="str">
        <x:v>W11</x:v>
      </x:c>
      <x:c r="F35" s="48" t="n">
        <x:v>5</x:v>
      </x:c>
      <x:c r="G35" s="42" t="str">
        <x:v>B019</x:v>
      </x:c>
      <x:c r="H35" s="42" t="str">
        <x:v>A10</x:v>
      </x:c>
      <x:c r="I35" s="42" t="str">
        <x:v>Compute</x:v>
      </x:c>
      <x:c r="J35" s="43" t="str">
        <x:v>Not Started</x:v>
      </x:c>
    </x:row>
    <x:row r="36" ht="42" customHeight="1">
      <x:c r="A36" s="41" t="str">
        <x:v>B032</x:v>
      </x:c>
      <x:c r="B36" s="42" t="str">
        <x:v>Compute</x:v>
      </x:c>
      <x:c r="C36" s="42" t="str">
        <x:v>Implement run queue cancellation and event stream</x:v>
      </x:c>
      <x:c r="D36" s="42" t="str">
        <x:v>P0</x:v>
      </x:c>
      <x:c r="E36" s="42" t="str">
        <x:v>W12</x:v>
      </x:c>
      <x:c r="F36" s="48" t="n">
        <x:v>5</x:v>
      </x:c>
      <x:c r="G36" s="42" t="str">
        <x:v>B031</x:v>
      </x:c>
      <x:c r="H36" s="42" t="str">
        <x:v>A11</x:v>
      </x:c>
      <x:c r="I36" s="42" t="str">
        <x:v>Compute</x:v>
      </x:c>
      <x:c r="J36" s="43" t="str">
        <x:v>Not Started</x:v>
      </x:c>
    </x:row>
    <x:row r="37" ht="42" customHeight="1">
      <x:c r="A37" s="41" t="str">
        <x:v>B033</x:v>
      </x:c>
      <x:c r="B37" s="42" t="str">
        <x:v>Compute</x:v>
      </x:c>
      <x:c r="C37" s="42" t="str">
        <x:v>Add OLS FE DiD analysis templates</x:v>
      </x:c>
      <x:c r="D37" s="42" t="str">
        <x:v>P1</x:v>
      </x:c>
      <x:c r="E37" s="42" t="str">
        <x:v>W12</x:v>
      </x:c>
      <x:c r="F37" s="48" t="n">
        <x:v>4</x:v>
      </x:c>
      <x:c r="G37" s="42" t="str">
        <x:v>B031|B021</x:v>
      </x:c>
      <x:c r="H37" s="42" t="str">
        <x:v>A12</x:v>
      </x:c>
      <x:c r="I37" s="42" t="str">
        <x:v>Method</x:v>
      </x:c>
      <x:c r="J37" s="43" t="str">
        <x:v>Not Started</x:v>
      </x:c>
    </x:row>
    <x:row r="38" ht="42" customHeight="1">
      <x:c r="A38" s="41" t="str">
        <x:v>B034</x:v>
      </x:c>
      <x:c r="B38" s="42" t="str">
        <x:v>Compute</x:v>
      </x:c>
      <x:c r="C38" s="42" t="str">
        <x:v>Add ML baseline and time-split template</x:v>
      </x:c>
      <x:c r="D38" s="42" t="str">
        <x:v>P1</x:v>
      </x:c>
      <x:c r="E38" s="42" t="str">
        <x:v>W13</x:v>
      </x:c>
      <x:c r="F38" s="48" t="n">
        <x:v>4</x:v>
      </x:c>
      <x:c r="G38" s="42" t="str">
        <x:v>B031|B023</x:v>
      </x:c>
      <x:c r="H38" s="42" t="str">
        <x:v>A14</x:v>
      </x:c>
      <x:c r="I38" s="42" t="str">
        <x:v>Method</x:v>
      </x:c>
      <x:c r="J38" s="43" t="str">
        <x:v>Not Started</x:v>
      </x:c>
    </x:row>
    <x:row r="39" ht="42" customHeight="1">
      <x:c r="A39" s="41" t="str">
        <x:v>B035</x:v>
      </x:c>
      <x:c r="B39" s="42" t="str">
        <x:v>Compute</x:v>
      </x:c>
      <x:c r="C39" s="42" t="str">
        <x:v>Add LP MILP template and solver adapter</x:v>
      </x:c>
      <x:c r="D39" s="42" t="str">
        <x:v>P1</x:v>
      </x:c>
      <x:c r="E39" s="42" t="str">
        <x:v>W13</x:v>
      </x:c>
      <x:c r="F39" s="48" t="n">
        <x:v>4</x:v>
      </x:c>
      <x:c r="G39" s="42" t="str">
        <x:v>B031|B022</x:v>
      </x:c>
      <x:c r="H39" s="42" t="str">
        <x:v>A13</x:v>
      </x:c>
      <x:c r="I39" s="42" t="str">
        <x:v>Method</x:v>
      </x:c>
      <x:c r="J39" s="43" t="str">
        <x:v>Not Started</x:v>
      </x:c>
    </x:row>
    <x:row r="40" ht="42" customHeight="1">
      <x:c r="A40" s="41" t="str">
        <x:v>B036</x:v>
      </x:c>
      <x:c r="B40" s="42" t="str">
        <x:v>Data</x:v>
      </x:c>
      <x:c r="C40" s="42" t="str">
        <x:v>Implement Data Contract and license gate</x:v>
      </x:c>
      <x:c r="D40" s="42" t="str">
        <x:v>P0</x:v>
      </x:c>
      <x:c r="E40" s="42" t="str">
        <x:v>W9</x:v>
      </x:c>
      <x:c r="F40" s="48" t="n">
        <x:v>4</x:v>
      </x:c>
      <x:c r="G40" s="42" t="str">
        <x:v>B010</x:v>
      </x:c>
      <x:c r="H40" s="42" t="str">
        <x:v>A09</x:v>
      </x:c>
      <x:c r="I40" s="42" t="str">
        <x:v>Data</x:v>
      </x:c>
      <x:c r="J40" s="43" t="str">
        <x:v>Not Started</x:v>
      </x:c>
    </x:row>
    <x:row r="41" ht="42" customHeight="1">
      <x:c r="A41" s="41" t="str">
        <x:v>B037</x:v>
      </x:c>
      <x:c r="B41" s="42" t="str">
        <x:v>Data</x:v>
      </x:c>
      <x:c r="C41" s="42" t="str">
        <x:v>Add first five public data connectors</x:v>
      </x:c>
      <x:c r="D41" s="42" t="str">
        <x:v>P1</x:v>
      </x:c>
      <x:c r="E41" s="42" t="str">
        <x:v>W13</x:v>
      </x:c>
      <x:c r="F41" s="48" t="n">
        <x:v>6</x:v>
      </x:c>
      <x:c r="G41" s="42" t="str">
        <x:v>B036</x:v>
      </x:c>
      <x:c r="H41" s="42" t="str">
        <x:v>A09</x:v>
      </x:c>
      <x:c r="I41" s="42" t="str">
        <x:v>Data</x:v>
      </x:c>
      <x:c r="J41" s="43" t="str">
        <x:v>Not Started</x:v>
      </x:c>
    </x:row>
    <x:row r="42" ht="42" customHeight="1">
      <x:c r="A42" s="41" t="str">
        <x:v>B038</x:v>
      </x:c>
      <x:c r="B42" s="42" t="str">
        <x:v>Repro</x:v>
      </x:c>
      <x:c r="C42" s="42" t="str">
        <x:v>Implement Repro Auditor and clean-room rerun</x:v>
      </x:c>
      <x:c r="D42" s="42" t="str">
        <x:v>P0</x:v>
      </x:c>
      <x:c r="E42" s="42" t="str">
        <x:v>W15</x:v>
      </x:c>
      <x:c r="F42" s="48" t="n">
        <x:v>5</x:v>
      </x:c>
      <x:c r="G42" s="42" t="str">
        <x:v>B032</x:v>
      </x:c>
      <x:c r="H42" s="42" t="str">
        <x:v>A11</x:v>
      </x:c>
      <x:c r="I42" s="42" t="str">
        <x:v>Compute</x:v>
      </x:c>
      <x:c r="J42" s="43" t="str">
        <x:v>Not Started</x:v>
      </x:c>
    </x:row>
    <x:row r="43" ht="42" customHeight="1">
      <x:c r="A43" s="41" t="str">
        <x:v>B039</x:v>
      </x:c>
      <x:c r="B43" s="42" t="str">
        <x:v>Robustness</x:v>
      </x:c>
      <x:c r="C43" s="42" t="str">
        <x:v>Implement robustness matrix and claim confidence rules</x:v>
      </x:c>
      <x:c r="D43" s="42" t="str">
        <x:v>P0</x:v>
      </x:c>
      <x:c r="E43" s="42" t="str">
        <x:v>W16</x:v>
      </x:c>
      <x:c r="F43" s="48" t="n">
        <x:v>5</x:v>
      </x:c>
      <x:c r="G43" s="42" t="str">
        <x:v>B021|B022|B023|B026</x:v>
      </x:c>
      <x:c r="H43" s="42" t="str">
        <x:v>A12|A13|A14</x:v>
      </x:c>
      <x:c r="I43" s="42" t="str">
        <x:v>Method</x:v>
      </x:c>
      <x:c r="J43" s="43" t="str">
        <x:v>Not Started</x:v>
      </x:c>
    </x:row>
    <x:row r="44" ht="42" customHeight="1">
      <x:c r="A44" s="41" t="str">
        <x:v>B040</x:v>
      </x:c>
      <x:c r="B44" s="42" t="str">
        <x:v>Writing</x:v>
      </x:c>
      <x:c r="C44" s="42" t="str">
        <x:v>Generate draft only from approved claims</x:v>
      </x:c>
      <x:c r="D44" s="42" t="str">
        <x:v>P0</x:v>
      </x:c>
      <x:c r="E44" s="42" t="str">
        <x:v>W17</x:v>
      </x:c>
      <x:c r="F44" s="48" t="n">
        <x:v>4</x:v>
      </x:c>
      <x:c r="G44" s="42" t="str">
        <x:v>B026|B039</x:v>
      </x:c>
      <x:c r="H44" s="42" t="str">
        <x:v>A15</x:v>
      </x:c>
      <x:c r="I44" s="42" t="str">
        <x:v>Agent</x:v>
      </x:c>
      <x:c r="J44" s="43" t="str">
        <x:v>Not Started</x:v>
      </x:c>
    </x:row>
    <x:row r="45" ht="42" customHeight="1">
      <x:c r="A45" s="41" t="str">
        <x:v>B041</x:v>
      </x:c>
      <x:c r="B45" s="42" t="str">
        <x:v>Writing</x:v>
      </x:c>
      <x:c r="C45" s="42" t="str">
        <x:v>Add DOI entailment and number-table consistency audit</x:v>
      </x:c>
      <x:c r="D45" s="42" t="str">
        <x:v>P0</x:v>
      </x:c>
      <x:c r="E45" s="42" t="str">
        <x:v>W18</x:v>
      </x:c>
      <x:c r="F45" s="48" t="n">
        <x:v>5</x:v>
      </x:c>
      <x:c r="G45" s="42" t="str">
        <x:v>B040</x:v>
      </x:c>
      <x:c r="H45" s="42" t="str">
        <x:v>A05|A16</x:v>
      </x:c>
      <x:c r="I45" s="42" t="str">
        <x:v>Backend</x:v>
      </x:c>
      <x:c r="J45" s="43" t="str">
        <x:v>Not Started</x:v>
      </x:c>
    </x:row>
    <x:row r="46" ht="42" customHeight="1">
      <x:c r="A46" s="41" t="str">
        <x:v>B042</x:v>
      </x:c>
      <x:c r="B46" s="42" t="str">
        <x:v>Governance</x:v>
      </x:c>
      <x:c r="C46" s="42" t="str">
        <x:v>Add OIDC project RBAC and audit events</x:v>
      </x:c>
      <x:c r="D46" s="42" t="str">
        <x:v>P0</x:v>
      </x:c>
      <x:c r="E46" s="42" t="str">
        <x:v>W19</x:v>
      </x:c>
      <x:c r="F46" s="48" t="n">
        <x:v>6</x:v>
      </x:c>
      <x:c r="G46" s="42" t="str">
        <x:v>B027</x:v>
      </x:c>
      <x:c r="H46" s="42" t="str">
        <x:v>A17</x:v>
      </x:c>
      <x:c r="I46" s="42" t="str">
        <x:v>Security</x:v>
      </x:c>
      <x:c r="J46" s="43" t="str">
        <x:v>Not Started</x:v>
      </x:c>
    </x:row>
    <x:row r="47" ht="42" customHeight="1">
      <x:c r="A47" s="41" t="str">
        <x:v>B043</x:v>
      </x:c>
      <x:c r="B47" s="42" t="str">
        <x:v>Governance</x:v>
      </x:c>
      <x:c r="C47" s="42" t="str">
        <x:v>Implement retention deletion and project export</x:v>
      </x:c>
      <x:c r="D47" s="42" t="str">
        <x:v>P1</x:v>
      </x:c>
      <x:c r="E47" s="42" t="str">
        <x:v>W21</x:v>
      </x:c>
      <x:c r="F47" s="48" t="n">
        <x:v>5</x:v>
      </x:c>
      <x:c r="G47" s="42" t="str">
        <x:v>B042</x:v>
      </x:c>
      <x:c r="H47" s="42" t="str">
        <x:v>A18|A19</x:v>
      </x:c>
      <x:c r="I47" s="42" t="str">
        <x:v>Security</x:v>
      </x:c>
      <x:c r="J47" s="43" t="str">
        <x:v>Not Started</x:v>
      </x:c>
    </x:row>
    <x:row r="48" ht="42" customHeight="1">
      <x:c r="A48" s="41" t="str">
        <x:v>B044</x:v>
      </x:c>
      <x:c r="B48" s="42" t="str">
        <x:v>Pilot</x:v>
      </x:c>
      <x:c r="C48" s="42" t="str">
        <x:v>Run six cross-lane pilot projects</x:v>
      </x:c>
      <x:c r="D48" s="42" t="str">
        <x:v>P0</x:v>
      </x:c>
      <x:c r="E48" s="42" t="str">
        <x:v>W22</x:v>
      </x:c>
      <x:c r="F48" s="48" t="n">
        <x:v>10</x:v>
      </x:c>
      <x:c r="G48" s="42" t="str">
        <x:v>B038|B041|B042</x:v>
      </x:c>
      <x:c r="H48" s="42" t="str">
        <x:v>A20</x:v>
      </x:c>
      <x:c r="I48" s="42" t="str">
        <x:v>Research</x:v>
      </x:c>
      <x:c r="J48" s="43" t="str">
        <x:v>Not Started</x:v>
      </x:c>
    </x:row>
    <x:row r="49" ht="42" customHeight="1">
      <x:c r="A49" s="44" t="str">
        <x:v>B045</x:v>
      </x:c>
      <x:c r="B49" s="45" t="str">
        <x:v>Release</x:v>
      </x:c>
      <x:c r="C49" s="45" t="str">
        <x:v>Security performance recovery and release review</x:v>
      </x:c>
      <x:c r="D49" s="45" t="str">
        <x:v>P0</x:v>
      </x:c>
      <x:c r="E49" s="45" t="str">
        <x:v>W24</x:v>
      </x:c>
      <x:c r="F49" s="49" t="n">
        <x:v>8</x:v>
      </x:c>
      <x:c r="G49" s="45" t="str">
        <x:v>B044</x:v>
      </x:c>
      <x:c r="H49" s="45" t="str">
        <x:v>A20</x:v>
      </x:c>
      <x:c r="I49" s="45" t="str">
        <x:v>All</x:v>
      </x:c>
      <x:c r="J49" s="46" t="str">
        <x:v>Not Started</x:v>
      </x:c>
    </x:row>
    <x:row r="50">
      <x:c r="A50" t="str">
        <x:v>B046</x:v>
      </x:c>
      <x:c r="B50" t="str">
        <x:v>TopicScout</x:v>
      </x:c>
      <x:c r="C50" t="str">
        <x:v>Implement TopicBrief schema and approval</x:v>
      </x:c>
      <x:c r="D50" s="152" t="str">
        <x:v>P0</x:v>
      </x:c>
      <x:c r="E50" t="str">
        <x:v>W3</x:v>
      </x:c>
      <x:c r="F50" t="n">
        <x:v>2</x:v>
      </x:c>
      <x:c r="G50" t="str">
        <x:v>B008</x:v>
      </x:c>
      <x:c r="H50" t="str">
        <x:v>A30</x:v>
      </x:c>
      <x:c r="I50" t="str">
        <x:v>Backend</x:v>
      </x:c>
      <x:c r="J50" t="str">
        <x:v>Not Started</x:v>
      </x:c>
    </x:row>
    <x:row r="51">
      <x:c r="A51" t="str">
        <x:v>B047</x:v>
      </x:c>
      <x:c r="B51" t="str">
        <x:v>TopicScout</x:v>
      </x:c>
      <x:c r="C51" t="str">
        <x:v>Build multilingual concept-block Query Planner</x:v>
      </x:c>
      <x:c r="D51" s="152" t="str">
        <x:v>P0</x:v>
      </x:c>
      <x:c r="E51" t="str">
        <x:v>W3</x:v>
      </x:c>
      <x:c r="F51" t="n">
        <x:v>3</x:v>
      </x:c>
      <x:c r="G51" t="str">
        <x:v>B046</x:v>
      </x:c>
      <x:c r="H51" t="str">
        <x:v>A21</x:v>
      </x:c>
      <x:c r="I51" t="str">
        <x:v>Agent</x:v>
      </x:c>
      <x:c r="J51" t="str">
        <x:v>Not Started</x:v>
      </x:c>
    </x:row>
    <x:row r="52">
      <x:c r="A52" t="str">
        <x:v>B048</x:v>
      </x:c>
      <x:c r="B52" t="str">
        <x:v>TopicScout</x:v>
      </x:c>
      <x:c r="C52" t="str">
        <x:v>Implement horizon systematic and counter-search stages</x:v>
      </x:c>
      <x:c r="D52" s="152" t="str">
        <x:v>P0</x:v>
      </x:c>
      <x:c r="E52" t="str">
        <x:v>W4</x:v>
      </x:c>
      <x:c r="F52" t="n">
        <x:v>3</x:v>
      </x:c>
      <x:c r="G52" t="str">
        <x:v>B012|B047</x:v>
      </x:c>
      <x:c r="H52" t="str">
        <x:v>A21|A25</x:v>
      </x:c>
      <x:c r="I52" t="str">
        <x:v>Backend</x:v>
      </x:c>
      <x:c r="J52" t="str">
        <x:v>Not Started</x:v>
      </x:c>
    </x:row>
    <x:row r="53">
      <x:c r="A53" t="str">
        <x:v>B049</x:v>
      </x:c>
      <x:c r="B53" t="str">
        <x:v>TopicScout</x:v>
      </x:c>
      <x:c r="C53" t="str">
        <x:v>Store search protocol counts errors and snapshots</x:v>
      </x:c>
      <x:c r="D53" s="152" t="str">
        <x:v>P0</x:v>
      </x:c>
      <x:c r="E53" t="str">
        <x:v>W4</x:v>
      </x:c>
      <x:c r="F53" t="n">
        <x:v>2</x:v>
      </x:c>
      <x:c r="G53" t="str">
        <x:v>B015|B048</x:v>
      </x:c>
      <x:c r="H53" t="str">
        <x:v>A28</x:v>
      </x:c>
      <x:c r="I53" t="str">
        <x:v>Backend</x:v>
      </x:c>
      <x:c r="J53" t="str">
        <x:v>Not Started</x:v>
      </x:c>
    </x:row>
    <x:row r="54">
      <x:c r="A54" t="str">
        <x:v>B050</x:v>
      </x:c>
      <x:c r="B54" t="str">
        <x:v>TopicScout</x:v>
      </x:c>
      <x:c r="C54" t="str">
        <x:v>Create research-stream clustering candidates</x:v>
      </x:c>
      <x:c r="D54" s="154" t="str">
        <x:v>P1</x:v>
      </x:c>
      <x:c r="E54" t="str">
        <x:v>W5</x:v>
      </x:c>
      <x:c r="F54" t="n">
        <x:v>3</x:v>
      </x:c>
      <x:c r="G54" t="str">
        <x:v>B016|B049</x:v>
      </x:c>
      <x:c r="H54" t="str">
        <x:v>A24</x:v>
      </x:c>
      <x:c r="I54" t="str">
        <x:v>NLP</x:v>
      </x:c>
      <x:c r="J54" t="str">
        <x:v>Not Started</x:v>
      </x:c>
    </x:row>
    <x:row r="55">
      <x:c r="A55" t="str">
        <x:v>B051</x:v>
      </x:c>
      <x:c r="B55" t="str">
        <x:v>TopicScout</x:v>
      </x:c>
      <x:c r="C55" t="str">
        <x:v>Implement consensus conflict unknown synthesis</x:v>
      </x:c>
      <x:c r="D55" s="152" t="str">
        <x:v>P0</x:v>
      </x:c>
      <x:c r="E55" t="str">
        <x:v>W5</x:v>
      </x:c>
      <x:c r="F55" t="n">
        <x:v>4</x:v>
      </x:c>
      <x:c r="G55" t="str">
        <x:v>B016|B050</x:v>
      </x:c>
      <x:c r="H55" t="str">
        <x:v>A24</x:v>
      </x:c>
      <x:c r="I55" t="str">
        <x:v>Agent</x:v>
      </x:c>
      <x:c r="J55" t="str">
        <x:v>Not Started</x:v>
      </x:c>
    </x:row>
    <x:row r="56">
      <x:c r="A56" t="str">
        <x:v>B052</x:v>
      </x:c>
      <x:c r="B56" t="str">
        <x:v>TopicScout</x:v>
      </x:c>
      <x:c r="C56" t="str">
        <x:v>Implement six-type GapCandidate with counter-search</x:v>
      </x:c>
      <x:c r="D56" s="152" t="str">
        <x:v>P0</x:v>
      </x:c>
      <x:c r="E56" t="str">
        <x:v>W5</x:v>
      </x:c>
      <x:c r="F56" t="n">
        <x:v>4</x:v>
      </x:c>
      <x:c r="G56" t="str">
        <x:v>B048|B051</x:v>
      </x:c>
      <x:c r="H56" t="str">
        <x:v>A25|A26</x:v>
      </x:c>
      <x:c r="I56" t="str">
        <x:v>Agent</x:v>
      </x:c>
      <x:c r="J56" t="str">
        <x:v>Not Started</x:v>
      </x:c>
    </x:row>
    <x:row r="57">
      <x:c r="A57" t="str">
        <x:v>B053</x:v>
      </x:c>
      <x:c r="B57" t="str">
        <x:v>TopicScout</x:v>
      </x:c>
      <x:c r="C57" t="str">
        <x:v>Link gap candidates to data and method feasibility</x:v>
      </x:c>
      <x:c r="D57" s="152" t="str">
        <x:v>P0</x:v>
      </x:c>
      <x:c r="E57" t="str">
        <x:v>W6</x:v>
      </x:c>
      <x:c r="F57" t="n">
        <x:v>3</x:v>
      </x:c>
      <x:c r="G57" t="str">
        <x:v>B024|B025|B052</x:v>
      </x:c>
      <x:c r="H57" t="str">
        <x:v>A26</x:v>
      </x:c>
      <x:c r="I57" t="str">
        <x:v>Method</x:v>
      </x:c>
      <x:c r="J57" t="str">
        <x:v>Not Started</x:v>
      </x:c>
    </x:row>
    <x:row r="58">
      <x:c r="A58" t="str">
        <x:v>B054</x:v>
      </x:c>
      <x:c r="B58" t="str">
        <x:v>TopicScout</x:v>
      </x:c>
      <x:c r="C58" t="str">
        <x:v>Generate two to three auditable topic candidates</x:v>
      </x:c>
      <x:c r="D58" s="152" t="str">
        <x:v>P0</x:v>
      </x:c>
      <x:c r="E58" t="str">
        <x:v>W6</x:v>
      </x:c>
      <x:c r="F58" t="n">
        <x:v>3</x:v>
      </x:c>
      <x:c r="G58" t="str">
        <x:v>B052|B053</x:v>
      </x:c>
      <x:c r="H58" t="str">
        <x:v>A30</x:v>
      </x:c>
      <x:c r="I58" t="str">
        <x:v>Agent</x:v>
      </x:c>
      <x:c r="J58" t="str">
        <x:v>Not Started</x:v>
      </x:c>
    </x:row>
    <x:row r="59">
      <x:c r="A59" t="str">
        <x:v>B055</x:v>
      </x:c>
      <x:c r="B59" t="str">
        <x:v>TopicScout</x:v>
      </x:c>
      <x:c r="C59" t="str">
        <x:v>Compose versioned related research report</x:v>
      </x:c>
      <x:c r="D59" s="152" t="str">
        <x:v>P0</x:v>
      </x:c>
      <x:c r="E59" t="str">
        <x:v>W6</x:v>
      </x:c>
      <x:c r="F59" t="n">
        <x:v>4</x:v>
      </x:c>
      <x:c r="G59" t="str">
        <x:v>B049|B051|B054</x:v>
      </x:c>
      <x:c r="H59" t="str">
        <x:v>A23|A24</x:v>
      </x:c>
      <x:c r="I59" t="str">
        <x:v>Backend</x:v>
      </x:c>
      <x:c r="J59" t="str">
        <x:v>Not Started</x:v>
      </x:c>
    </x:row>
    <x:row r="60">
      <x:c r="A60" t="str">
        <x:v>B056</x:v>
      </x:c>
      <x:c r="B60" t="str">
        <x:v>TopicScout</x:v>
      </x:c>
      <x:c r="C60" t="str">
        <x:v>Add DOI number status and novelty-language audit</x:v>
      </x:c>
      <x:c r="D60" s="152" t="str">
        <x:v>P0</x:v>
      </x:c>
      <x:c r="E60" t="str">
        <x:v>W6</x:v>
      </x:c>
      <x:c r="F60" t="n">
        <x:v>3</x:v>
      </x:c>
      <x:c r="G60" t="str">
        <x:v>B055</x:v>
      </x:c>
      <x:c r="H60" t="str">
        <x:v>A23|A25</x:v>
      </x:c>
      <x:c r="I60" t="str">
        <x:v>Backend</x:v>
      </x:c>
      <x:c r="J60" t="str">
        <x:v>Not Started</x:v>
      </x:c>
    </x:row>
    <x:row r="61">
      <x:c r="A61" t="str">
        <x:v>B057</x:v>
      </x:c>
      <x:c r="B61" t="str">
        <x:v>Gates</x:v>
      </x:c>
      <x:c r="C61" t="str">
        <x:v>Implement G0 report and topic approval</x:v>
      </x:c>
      <x:c r="D61" s="152" t="str">
        <x:v>P0</x:v>
      </x:c>
      <x:c r="E61" t="str">
        <x:v>W6</x:v>
      </x:c>
      <x:c r="F61" t="n">
        <x:v>2</x:v>
      </x:c>
      <x:c r="G61" t="str">
        <x:v>B055|B056</x:v>
      </x:c>
      <x:c r="H61" t="str">
        <x:v>A26|A30</x:v>
      </x:c>
      <x:c r="I61" t="str">
        <x:v>Backend</x:v>
      </x:c>
      <x:c r="J61" t="str">
        <x:v>Not Started</x:v>
      </x:c>
    </x:row>
    <x:row r="62">
      <x:c r="A62" t="str">
        <x:v>B058</x:v>
      </x:c>
      <x:c r="B62" t="str">
        <x:v>API</x:v>
      </x:c>
      <x:c r="C62" t="str">
        <x:v>Add topic scout report approval and watchlist endpoints</x:v>
      </x:c>
      <x:c r="D62" s="152" t="str">
        <x:v>P0</x:v>
      </x:c>
      <x:c r="E62" t="str">
        <x:v>W6</x:v>
      </x:c>
      <x:c r="F62" t="n">
        <x:v>4</x:v>
      </x:c>
      <x:c r="G62" t="str">
        <x:v>B046|B055|B057</x:v>
      </x:c>
      <x:c r="H62" t="str">
        <x:v>A28|A30</x:v>
      </x:c>
      <x:c r="I62" t="str">
        <x:v>Backend</x:v>
      </x:c>
      <x:c r="J62" t="str">
        <x:v>Not Started</x:v>
      </x:c>
    </x:row>
    <x:row r="63">
      <x:c r="A63" t="str">
        <x:v>B059</x:v>
      </x:c>
      <x:c r="B63" t="str">
        <x:v>Web</x:v>
      </x:c>
      <x:c r="C63" t="str">
        <x:v>Build Topic Scout report and candidate approval pages</x:v>
      </x:c>
      <x:c r="D63" s="154" t="str">
        <x:v>P1</x:v>
      </x:c>
      <x:c r="E63" t="str">
        <x:v>W7</x:v>
      </x:c>
      <x:c r="F63" t="n">
        <x:v>6</x:v>
      </x:c>
      <x:c r="G63" t="str">
        <x:v>B058</x:v>
      </x:c>
      <x:c r="H63" t="str">
        <x:v>A27</x:v>
      </x:c>
      <x:c r="I63" t="str">
        <x:v>Frontend</x:v>
      </x:c>
      <x:c r="J63" t="str">
        <x:v>Not Started</x:v>
      </x:c>
    </x:row>
    <x:row r="64">
      <x:c r="A64" t="str">
        <x:v>B060</x:v>
      </x:c>
      <x:c r="B64" t="str">
        <x:v>Evaluation</x:v>
      </x:c>
      <x:c r="C64" t="str">
        <x:v>Create ten-topic scout benchmark and reader test</x:v>
      </x:c>
      <x:c r="D64" s="152" t="str">
        <x:v>P0</x:v>
      </x:c>
      <x:c r="E64" t="str">
        <x:v>W3</x:v>
      </x:c>
      <x:c r="F64" t="n">
        <x:v>3</x:v>
      </x:c>
      <x:c r="G64" t="str">
        <x:v>B007</x:v>
      </x:c>
      <x:c r="H64" t="str">
        <x:v>A21|A25|A27</x:v>
      </x:c>
      <x:c r="I64" t="str">
        <x:v>Research</x:v>
      </x:c>
      <x:c r="J64" t="str">
        <x:v>Not Started</x:v>
      </x:c>
    </x:row>
    <x:row r="65" ht="20" customHeight="1">
      <x:c r="A65" t="str">
        <x:v>B061</x:v>
      </x:c>
      <x:c r="B65" t="str">
        <x:v>Revision</x:v>
      </x:c>
      <x:c r="C65" t="str">
        <x:v>Implement research asset and immutable revision models</x:v>
      </x:c>
      <x:c r="D65" s="164" t="str">
        <x:v>P0</x:v>
      </x:c>
      <x:c r="E65" t="str">
        <x:v>W7</x:v>
      </x:c>
      <x:c r="F65" t="n">
        <x:v>4</x:v>
      </x:c>
      <x:c r="G65" t="str">
        <x:v>B019</x:v>
      </x:c>
      <x:c r="H65" t="str">
        <x:v>A36</x:v>
      </x:c>
      <x:c r="I65" t="str">
        <x:v>Backend</x:v>
      </x:c>
      <x:c r="J65" t="str">
        <x:v>Not Started</x:v>
      </x:c>
    </x:row>
    <x:row r="66" ht="20" customHeight="1">
      <x:c r="A66" t="str">
        <x:v>B062</x:v>
      </x:c>
      <x:c r="B66" t="str">
        <x:v>Revision</x:v>
      </x:c>
      <x:c r="C66" t="str">
        <x:v>Implement field text and code patch decisions</x:v>
      </x:c>
      <x:c r="D66" s="164" t="str">
        <x:v>P0</x:v>
      </x:c>
      <x:c r="E66" t="str">
        <x:v>W7</x:v>
      </x:c>
      <x:c r="F66" t="n">
        <x:v>4</x:v>
      </x:c>
      <x:c r="G66" t="str">
        <x:v>B061</x:v>
      </x:c>
      <x:c r="H66" t="str">
        <x:v>A36</x:v>
      </x:c>
      <x:c r="I66" t="str">
        <x:v>Backend</x:v>
      </x:c>
      <x:c r="J66" t="str">
        <x:v>Not Started</x:v>
      </x:c>
    </x:row>
    <x:row r="67" ht="20" customHeight="1">
      <x:c r="A67" t="str">
        <x:v>B063</x:v>
      </x:c>
      <x:c r="B67" t="str">
        <x:v>Approval</x:v>
      </x:c>
      <x:c r="C67" t="str">
        <x:v>Implement generic G0 to G5 approval requests and decisions</x:v>
      </x:c>
      <x:c r="D67" s="164" t="str">
        <x:v>P0</x:v>
      </x:c>
      <x:c r="E67" t="str">
        <x:v>W8</x:v>
      </x:c>
      <x:c r="F67" t="n">
        <x:v>4</x:v>
      </x:c>
      <x:c r="G67" t="str">
        <x:v>B020|B061</x:v>
      </x:c>
      <x:c r="H67" t="str">
        <x:v>A37</x:v>
      </x:c>
      <x:c r="I67" t="str">
        <x:v>Backend</x:v>
      </x:c>
      <x:c r="J67" t="str">
        <x:v>Not Started</x:v>
      </x:c>
    </x:row>
    <x:row r="68" ht="20" customHeight="1">
      <x:c r="A68" t="str">
        <x:v>B064</x:v>
      </x:c>
      <x:c r="B68" t="str">
        <x:v>Approval</x:v>
      </x:c>
      <x:c r="C68" t="str">
        <x:v>Implement single four-eyes and multi-signoff policies</x:v>
      </x:c>
      <x:c r="D68" s="164" t="str">
        <x:v>P0</x:v>
      </x:c>
      <x:c r="E68" t="str">
        <x:v>W8</x:v>
      </x:c>
      <x:c r="F68" t="n">
        <x:v>3</x:v>
      </x:c>
      <x:c r="G68" t="str">
        <x:v>B063</x:v>
      </x:c>
      <x:c r="H68" t="str">
        <x:v>A37</x:v>
      </x:c>
      <x:c r="I68" t="str">
        <x:v>Security</x:v>
      </x:c>
      <x:c r="J68" t="str">
        <x:v>Not Started</x:v>
      </x:c>
    </x:row>
    <x:row r="69" ht="20" customHeight="1">
      <x:c r="A69" t="str">
        <x:v>B065</x:v>
      </x:c>
      <x:c r="B69" t="str">
        <x:v>Approval</x:v>
      </x:c>
      <x:c r="C69" t="str">
        <x:v>Implement semantic dependency invalidation engine</x:v>
      </x:c>
      <x:c r="D69" s="164" t="str">
        <x:v>P0</x:v>
      </x:c>
      <x:c r="E69" t="str">
        <x:v>W9</x:v>
      </x:c>
      <x:c r="F69" t="n">
        <x:v>4</x:v>
      </x:c>
      <x:c r="G69" t="str">
        <x:v>B061|B063</x:v>
      </x:c>
      <x:c r="H69" t="str">
        <x:v>A38</x:v>
      </x:c>
      <x:c r="I69" t="str">
        <x:v>Backend</x:v>
      </x:c>
      <x:c r="J69" t="str">
        <x:v>Not Started</x:v>
      </x:c>
    </x:row>
    <x:row r="70" ht="20" customHeight="1">
      <x:c r="A70" t="str">
        <x:v>B066</x:v>
      </x:c>
      <x:c r="B70" t="str">
        <x:v>StageAgents</x:v>
      </x:c>
      <x:c r="C70" t="str">
        <x:v>Create S0 to S9 stage agent registry</x:v>
      </x:c>
      <x:c r="D70" s="164" t="str">
        <x:v>P0</x:v>
      </x:c>
      <x:c r="E70" t="str">
        <x:v>W8</x:v>
      </x:c>
      <x:c r="F70" t="n">
        <x:v>3</x:v>
      </x:c>
      <x:c r="G70" t="str">
        <x:v>B003|B020</x:v>
      </x:c>
      <x:c r="H70" t="str">
        <x:v>A39</x:v>
      </x:c>
      <x:c r="I70" t="str">
        <x:v>Agent</x:v>
      </x:c>
      <x:c r="J70" t="str">
        <x:v>Not Started</x:v>
      </x:c>
    </x:row>
    <x:row r="71" ht="20" customHeight="1">
      <x:c r="A71" t="str">
        <x:v>B067</x:v>
      </x:c>
      <x:c r="B71" t="str">
        <x:v>StageAgents</x:v>
      </x:c>
      <x:c r="C71" t="str">
        <x:v>Implement stage session handoff readiness API</x:v>
      </x:c>
      <x:c r="D71" s="164" t="str">
        <x:v>P0</x:v>
      </x:c>
      <x:c r="E71" t="str">
        <x:v>W9</x:v>
      </x:c>
      <x:c r="F71" t="n">
        <x:v>4</x:v>
      </x:c>
      <x:c r="G71" t="str">
        <x:v>B066|B061</x:v>
      </x:c>
      <x:c r="H71" t="str">
        <x:v>A39</x:v>
      </x:c>
      <x:c r="I71" t="str">
        <x:v>Backend</x:v>
      </x:c>
      <x:c r="J71" t="str">
        <x:v>Not Started</x:v>
      </x:c>
    </x:row>
    <x:row r="72" ht="20" customHeight="1">
      <x:c r="A72" t="str">
        <x:v>B068</x:v>
      </x:c>
      <x:c r="B72" t="str">
        <x:v>Web</x:v>
      </x:c>
      <x:c r="C72" t="str">
        <x:v>Build Stage Workspace revision diff and patch UI</x:v>
      </x:c>
      <x:c r="D72" s="165" t="str">
        <x:v>P1</x:v>
      </x:c>
      <x:c r="E72" t="str">
        <x:v>W10</x:v>
      </x:c>
      <x:c r="F72" t="n">
        <x:v>6</x:v>
      </x:c>
      <x:c r="G72" t="str">
        <x:v>B062|B067</x:v>
      </x:c>
      <x:c r="H72" t="str">
        <x:v>A36</x:v>
      </x:c>
      <x:c r="I72" t="str">
        <x:v>Frontend</x:v>
      </x:c>
      <x:c r="J72" t="str">
        <x:v>Not Started</x:v>
      </x:c>
    </x:row>
    <x:row r="73" ht="20" customHeight="1">
      <x:c r="A73" t="str">
        <x:v>B069</x:v>
      </x:c>
      <x:c r="B73" t="str">
        <x:v>Web</x:v>
      </x:c>
      <x:c r="C73" t="str">
        <x:v>Build Approval Inbox review checklist and signoff UI</x:v>
      </x:c>
      <x:c r="D73" s="165" t="str">
        <x:v>P1</x:v>
      </x:c>
      <x:c r="E73" t="str">
        <x:v>W10</x:v>
      </x:c>
      <x:c r="F73" t="n">
        <x:v>6</x:v>
      </x:c>
      <x:c r="G73" t="str">
        <x:v>B063|B064|B065</x:v>
      </x:c>
      <x:c r="H73" t="str">
        <x:v>A37|A38</x:v>
      </x:c>
      <x:c r="I73" t="str">
        <x:v>Frontend</x:v>
      </x:c>
      <x:c r="J73" t="str">
        <x:v>Not Started</x:v>
      </x:c>
    </x:row>
    <x:row r="74" ht="20" customHeight="1">
      <x:c r="A74" t="str">
        <x:v>B070</x:v>
      </x:c>
      <x:c r="B74" t="str">
        <x:v>Stata</x:v>
      </x:c>
      <x:c r="C74" t="str">
        <x:v>Define StataRunner profile preflight submit collect interface</x:v>
      </x:c>
      <x:c r="D74" s="164" t="str">
        <x:v>P0</x:v>
      </x:c>
      <x:c r="E74" t="str">
        <x:v>W11</x:v>
      </x:c>
      <x:c r="F74" t="n">
        <x:v>3</x:v>
      </x:c>
      <x:c r="G74" t="str">
        <x:v>B032|B036</x:v>
      </x:c>
      <x:c r="H74" t="str">
        <x:v>A31</x:v>
      </x:c>
      <x:c r="I74" t="str">
        <x:v>Compute</x:v>
      </x:c>
      <x:c r="J74" t="str">
        <x:v>Not Started</x:v>
      </x:c>
    </x:row>
    <x:row r="75" ht="20" customHeight="1">
      <x:c r="A75" t="str">
        <x:v>B071</x:v>
      </x:c>
      <x:c r="B75" t="str">
        <x:v>Stata</x:v>
      </x:c>
      <x:c r="C75" t="str">
        <x:v>Implement local and institution batch runner adapters</x:v>
      </x:c>
      <x:c r="D75" s="164" t="str">
        <x:v>P0</x:v>
      </x:c>
      <x:c r="E75" t="str">
        <x:v>W11</x:v>
      </x:c>
      <x:c r="F75" t="n">
        <x:v>5</x:v>
      </x:c>
      <x:c r="G75" t="str">
        <x:v>B070</x:v>
      </x:c>
      <x:c r="H75" t="str">
        <x:v>A31</x:v>
      </x:c>
      <x:c r="I75" t="str">
        <x:v>Compute</x:v>
      </x:c>
      <x:c r="J75" t="str">
        <x:v>Not Started</x:v>
      </x:c>
    </x:row>
    <x:row r="76" ht="20" customHeight="1">
      <x:c r="A76" t="str">
        <x:v>B072</x:v>
      </x:c>
      <x:c r="B76" t="str">
        <x:v>Stata</x:v>
      </x:c>
      <x:c r="C76" t="str">
        <x:v>Implement do-file policy linter and variable preflight</x:v>
      </x:c>
      <x:c r="D76" s="164" t="str">
        <x:v>P0</x:v>
      </x:c>
      <x:c r="E76" t="str">
        <x:v>W12</x:v>
      </x:c>
      <x:c r="F76" t="n">
        <x:v>4</x:v>
      </x:c>
      <x:c r="G76" t="str">
        <x:v>B070</x:v>
      </x:c>
      <x:c r="H76" t="str">
        <x:v>A34</x:v>
      </x:c>
      <x:c r="I76" t="str">
        <x:v>Security</x:v>
      </x:c>
      <x:c r="J76" t="str">
        <x:v>Not Started</x:v>
      </x:c>
    </x:row>
    <x:row r="77" ht="20" customHeight="1">
      <x:c r="A77" t="str">
        <x:v>B073</x:v>
      </x:c>
      <x:c r="B77" t="str">
        <x:v>Stata</x:v>
      </x:c>
      <x:c r="C77" t="str">
        <x:v>Implement license seat and G3 hash guard</x:v>
      </x:c>
      <x:c r="D77" s="164" t="str">
        <x:v>P0</x:v>
      </x:c>
      <x:c r="E77" t="str">
        <x:v>W12</x:v>
      </x:c>
      <x:c r="F77" t="n">
        <x:v>3</x:v>
      </x:c>
      <x:c r="G77" t="str">
        <x:v>B063|B070</x:v>
      </x:c>
      <x:c r="H77" t="str">
        <x:v>A34</x:v>
      </x:c>
      <x:c r="I77" t="str">
        <x:v>Backend</x:v>
      </x:c>
      <x:c r="J77" t="str">
        <x:v>Not Started</x:v>
      </x:c>
    </x:row>
    <x:row r="78" ht="20" customHeight="1">
      <x:c r="A78" t="str">
        <x:v>B074</x:v>
      </x:c>
      <x:c r="B78" t="str">
        <x:v>Stata</x:v>
      </x:c>
      <x:c r="C78" t="str">
        <x:v>Capture SMCL text log exit code and task events</x:v>
      </x:c>
      <x:c r="D78" s="164" t="str">
        <x:v>P0</x:v>
      </x:c>
      <x:c r="E78" t="str">
        <x:v>W12</x:v>
      </x:c>
      <x:c r="F78" t="n">
        <x:v>4</x:v>
      </x:c>
      <x:c r="G78" t="str">
        <x:v>B071</x:v>
      </x:c>
      <x:c r="H78" t="str">
        <x:v>A31</x:v>
      </x:c>
      <x:c r="I78" t="str">
        <x:v>Compute</x:v>
      </x:c>
      <x:c r="J78" t="str">
        <x:v>Not Started</x:v>
      </x:c>
    </x:row>
    <x:row r="79" ht="20" customHeight="1">
      <x:c r="A79" t="str">
        <x:v>B075</x:v>
      </x:c>
      <x:c r="B79" t="str">
        <x:v>Stata</x:v>
      </x:c>
      <x:c r="C79" t="str">
        <x:v>Create environment data signature and artifact manifest</x:v>
      </x:c>
      <x:c r="D79" s="164" t="str">
        <x:v>P0</x:v>
      </x:c>
      <x:c r="E79" t="str">
        <x:v>W13</x:v>
      </x:c>
      <x:c r="F79" t="n">
        <x:v>4</x:v>
      </x:c>
      <x:c r="G79" t="str">
        <x:v>B074</x:v>
      </x:c>
      <x:c r="H79" t="str">
        <x:v>A33|A35</x:v>
      </x:c>
      <x:c r="I79" t="str">
        <x:v>Compute</x:v>
      </x:c>
      <x:c r="J79" t="str">
        <x:v>Not Started</x:v>
      </x:c>
    </x:row>
    <x:row r="80" ht="20" customHeight="1">
      <x:c r="A80" t="str">
        <x:v>B076</x:v>
      </x:c>
      <x:c r="B80" t="str">
        <x:v>Stata</x:v>
      </x:c>
      <x:c r="C80" t="str">
        <x:v>Add data audit OLS and FE templates</x:v>
      </x:c>
      <x:c r="D80" s="164" t="str">
        <x:v>P0</x:v>
      </x:c>
      <x:c r="E80" t="str">
        <x:v>W13</x:v>
      </x:c>
      <x:c r="F80" t="n">
        <x:v>4</x:v>
      </x:c>
      <x:c r="G80" t="str">
        <x:v>B071|B024</x:v>
      </x:c>
      <x:c r="H80" t="str">
        <x:v>A32</x:v>
      </x:c>
      <x:c r="I80" t="str">
        <x:v>Method</x:v>
      </x:c>
      <x:c r="J80" t="str">
        <x:v>Not Started</x:v>
      </x:c>
    </x:row>
    <x:row r="81" ht="20" customHeight="1">
      <x:c r="A81" t="str">
        <x:v>B077</x:v>
      </x:c>
      <x:c r="B81" t="str">
        <x:v>Stata</x:v>
      </x:c>
      <x:c r="C81" t="str">
        <x:v>Add DiD event study diagnostics and robustness template</x:v>
      </x:c>
      <x:c r="D81" s="165" t="str">
        <x:v>P1</x:v>
      </x:c>
      <x:c r="E81" t="str">
        <x:v>W14</x:v>
      </x:c>
      <x:c r="F81" t="n">
        <x:v>5</x:v>
      </x:c>
      <x:c r="G81" t="str">
        <x:v>B076|B021</x:v>
      </x:c>
      <x:c r="H81" t="str">
        <x:v>A32|A35</x:v>
      </x:c>
      <x:c r="I81" t="str">
        <x:v>Method</x:v>
      </x:c>
      <x:c r="J81" t="str">
        <x:v>Not Started</x:v>
      </x:c>
    </x:row>
    <x:row r="82" ht="20" customHeight="1">
      <x:c r="A82" t="str">
        <x:v>B078</x:v>
      </x:c>
      <x:c r="B82" t="str">
        <x:v>Stata</x:v>
      </x:c>
      <x:c r="C82" t="str">
        <x:v>Parse collect etable tables and figures into evidence artifacts</x:v>
      </x:c>
      <x:c r="D82" s="165" t="str">
        <x:v>P1</x:v>
      </x:c>
      <x:c r="E82" t="str">
        <x:v>W14</x:v>
      </x:c>
      <x:c r="F82" t="n">
        <x:v>4</x:v>
      </x:c>
      <x:c r="G82" t="str">
        <x:v>B075|B026</x:v>
      </x:c>
      <x:c r="H82" t="str">
        <x:v>A35</x:v>
      </x:c>
      <x:c r="I82" t="str">
        <x:v>Backend</x:v>
      </x:c>
      <x:c r="J82" t="str">
        <x:v>Not Started</x:v>
      </x:c>
    </x:row>
    <x:row r="83" ht="20" customHeight="1">
      <x:c r="A83" t="str">
        <x:v>B079</x:v>
      </x:c>
      <x:c r="B83" t="str">
        <x:v>StageAgents</x:v>
      </x:c>
      <x:c r="C83" t="str">
        <x:v>Connect S5 S6 S7 S8 agents to Stata and approvals</x:v>
      </x:c>
      <x:c r="D83" s="164" t="str">
        <x:v>P0</x:v>
      </x:c>
      <x:c r="E83" t="str">
        <x:v>W14</x:v>
      </x:c>
      <x:c r="F83" t="n">
        <x:v>5</x:v>
      </x:c>
      <x:c r="G83" t="str">
        <x:v>B066|B068|B073|B078</x:v>
      </x:c>
      <x:c r="H83" t="str">
        <x:v>A39|A40</x:v>
      </x:c>
      <x:c r="I83" t="str">
        <x:v>Agent</x:v>
      </x:c>
      <x:c r="J83" t="str">
        <x:v>Not Started</x:v>
      </x:c>
    </x:row>
    <x:row r="84" ht="20" customHeight="1">
      <x:c r="A84" t="str">
        <x:v>B080</x:v>
      </x:c>
      <x:c r="B84" t="str">
        <x:v>Evaluation</x:v>
      </x:c>
      <x:c r="C84" t="str">
        <x:v>Run Stata approval invalidation and ten-stage collaboration benchmark</x:v>
      </x:c>
      <x:c r="D84" s="164" t="str">
        <x:v>P0</x:v>
      </x:c>
      <x:c r="E84" t="str">
        <x:v>W14</x:v>
      </x:c>
      <x:c r="F84" t="n">
        <x:v>5</x:v>
      </x:c>
      <x:c r="G84" t="str">
        <x:v>B060|B079</x:v>
      </x:c>
      <x:c r="H84" t="str">
        <x:v>A31|A38|A40</x:v>
      </x:c>
      <x:c r="I84" t="str">
        <x:v>Research</x:v>
      </x:c>
      <x:c r="J84" t="str">
        <x:v>Not Started</x:v>
      </x:c>
    </x:row>
  </x:sheetData>
  <x:mergeCells>
    <x:mergeCell ref="A1:J1"/>
    <x:mergeCell ref="A2:J2"/>
  </x:mergeCells>
  <x:conditionalFormatting sqref="D5:D49">
    <x:cfRule type="containsText" dxfId="4" priority="1" operator="containsText" text="P0"/>
    <x:cfRule type="containsText" dxfId="5" priority="2" operator="containsText" text="P1"/>
  </x:conditionalFormatting>
  <x:dataValidations count="3">
    <x:dataValidation type="list" sqref="J5:J49">
      <x:formula1>"Not Started,In Progress,Blocked,Done"</x:formula1>
    </x:dataValidation>
    <x:dataValidation type="list" sqref="J5:J64">
      <x:formula1>"Not Started,In Progress,Blocked,Done"</x:formula1>
    </x:dataValidation>
    <x:dataValidation type="list" sqref="J65:J84">
      <x:formula1>"Not Started,In Progress,Blocked,Done"</x:formula1>
    </x:dataValidation>
  </x:dataValidations>
  <x:pageMargins left="0.7" right="0.7" top="0.75" bottom="0.75" header="0.3" footer="0.3"/>
  <x:tableParts count="1">
    <x:tablePart xmlns:r="http://schemas.openxmlformats.org/officeDocument/2006/relationships" r:id="Rb67b2051501f493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46" hidden="0" customWidth="1"/>
    <x:col min="4" max="4" width="14" hidden="0" customWidth="1"/>
    <x:col min="5" max="5" width="14" hidden="0" customWidth="1"/>
    <x:col min="6" max="6" width="42" hidden="0" customWidth="1"/>
    <x:col min="7" max="7" width="50" hidden="0" customWidth="1"/>
    <x:col min="8" max="8" width="20" hidden="0" customWidth="1"/>
    <x:col min="9" max="9" width="14" hidden="0" customWidth="1"/>
  </x:cols>
  <x:sheetData>
    <x:row r="1" ht="30" customHeight="1">
      <x:c r="A1" s="3" t="str">
        <x:v>Product &amp; Research Risk Register</x:v>
      </x:c>
      <x:c r="B1" s="3"/>
      <x:c r="C1" s="3"/>
      <x:c r="D1" s="3"/>
      <x:c r="E1" s="3"/>
      <x:c r="F1" s="3"/>
      <x:c r="G1" s="3"/>
      <x:c r="H1" s="3"/>
      <x:c r="I1" s="3"/>
    </x:row>
    <x:row r="2" ht="30" customHeight="1">
      <x:c r="A2" s="7" t="str">
        <x:v>Review in every phase gate. Critical research-integrity, privacy, citation, and sandbox risks are release blockers.</x:v>
      </x:c>
      <x:c r="B2" s="7"/>
      <x:c r="C2" s="7"/>
      <x:c r="D2" s="7"/>
      <x:c r="E2" s="7"/>
      <x:c r="F2" s="7"/>
      <x:c r="G2" s="7"/>
      <x:c r="H2" s="7"/>
      <x:c r="I2" s="7"/>
    </x:row>
    <x:row r="4" ht="32" customHeight="1">
      <x:c r="A4" s="16" t="str">
        <x:v>ID</x:v>
      </x:c>
      <x:c r="B4" s="17" t="str">
        <x:v>Category</x:v>
      </x:c>
      <x:c r="C4" s="17" t="str">
        <x:v>Risk</x:v>
      </x:c>
      <x:c r="D4" s="17" t="str">
        <x:v>Probability</x:v>
      </x:c>
      <x:c r="E4" s="17" t="str">
        <x:v>Impact</x:v>
      </x:c>
      <x:c r="F4" s="17" t="str">
        <x:v>Early Signal</x:v>
      </x:c>
      <x:c r="G4" s="17" t="str">
        <x:v>Mitigation</x:v>
      </x:c>
      <x:c r="H4" s="17" t="str">
        <x:v>Owner</x:v>
      </x:c>
      <x:c r="I4" s="18" t="str">
        <x:v>Target Phase</x:v>
      </x:c>
    </x:row>
    <x:row r="5" ht="42" customHeight="1">
      <x:c r="A5" s="38" t="str">
        <x:v>R01</x:v>
      </x:c>
      <x:c r="B5" s="39" t="str">
        <x:v>Research validity</x:v>
      </x:c>
      <x:c r="C5" s="39" t="str">
        <x:v>用户把方法推荐当作有效性证明</x:v>
      </x:c>
      <x:c r="D5" s="39" t="str">
        <x:v>High</x:v>
      </x:c>
      <x:c r="E5" s="39" t="str">
        <x:v>High</x:v>
      </x:c>
      <x:c r="F5" s="39" t="str">
        <x:v>没有人工批准仍启动分析</x:v>
      </x:c>
      <x:c r="G5" s="39" t="str">
        <x:v>设计门+免责声明+关键假设强制字段</x:v>
      </x:c>
      <x:c r="H5" s="39" t="str">
        <x:v>Research Lead</x:v>
      </x:c>
      <x:c r="I5" s="40" t="str">
        <x:v>W1-W10</x:v>
      </x:c>
    </x:row>
    <x:row r="6" ht="42" customHeight="1">
      <x:c r="A6" s="41" t="str">
        <x:v>R02</x:v>
      </x:c>
      <x:c r="B6" s="42" t="str">
        <x:v>Literature</x:v>
      </x:c>
      <x:c r="C6" s="42" t="str">
        <x:v>虚构或错误 DOI/引文</x:v>
      </x:c>
      <x:c r="D6" s="42" t="str">
        <x:v>Medium</x:v>
      </x:c>
      <x:c r="E6" s="42" t="str">
        <x:v>Critical</x:v>
      </x:c>
      <x:c r="F6" s="42" t="str">
        <x:v>无法Crossref/OpenAlex核验</x:v>
      </x:c>
      <x:c r="G6" s="42" t="str">
        <x:v>确定性DOI核验+引用冻结+错误一票否决</x:v>
      </x:c>
      <x:c r="H6" s="42" t="str">
        <x:v>Backend Lead</x:v>
      </x:c>
      <x:c r="I6" s="43" t="str">
        <x:v>W3-W6</x:v>
      </x:c>
    </x:row>
    <x:row r="7" ht="42" customHeight="1">
      <x:c r="A7" s="41" t="str">
        <x:v>R03</x:v>
      </x:c>
      <x:c r="B7" s="42" t="str">
        <x:v>Extraction</x:v>
      </x:c>
      <x:c r="C7" s="42" t="str">
        <x:v>摘要推断被标为全文事实</x:v>
      </x:c>
      <x:c r="D7" s="42" t="str">
        <x:v>High</x:v>
      </x:c>
      <x:c r="E7" s="42" t="str">
        <x:v>High</x:v>
      </x:c>
      <x:c r="F7" s="42" t="str">
        <x:v>locator为空或证据等级错误</x:v>
      </x:c>
      <x:c r="G7" s="42" t="str">
        <x:v>字段级evidence_level+人工队列+金标集</x:v>
      </x:c>
      <x:c r="H7" s="42" t="str">
        <x:v>NLP Lead</x:v>
      </x:c>
      <x:c r="I7" s="43" t="str">
        <x:v>W4-W10</x:v>
      </x:c>
    </x:row>
    <x:row r="8" ht="42" customHeight="1">
      <x:c r="A8" s="41" t="str">
        <x:v>R04</x:v>
      </x:c>
      <x:c r="B8" s="42" t="str">
        <x:v>Data licensing</x:v>
      </x:c>
      <x:c r="C8" s="42" t="str">
        <x:v>付费/受限数据进入外部模型</x:v>
      </x:c>
      <x:c r="D8" s="42" t="str">
        <x:v>Medium</x:v>
      </x:c>
      <x:c r="E8" s="42" t="str">
        <x:v>Critical</x:v>
      </x:c>
      <x:c r="F8" s="42" t="str">
        <x:v>license_status缺失或日志出现原文</x:v>
      </x:c>
      <x:c r="G8" s="42" t="str">
        <x:v>license gate+provider policy+local runner</x:v>
      </x:c>
      <x:c r="H8" s="42" t="str">
        <x:v>Data Steward</x:v>
      </x:c>
      <x:c r="I8" s="43" t="str">
        <x:v>W7-W14</x:v>
      </x:c>
    </x:row>
    <x:row r="9" ht="42" customHeight="1">
      <x:c r="A9" s="41" t="str">
        <x:v>R05</x:v>
      </x:c>
      <x:c r="B9" s="42" t="str">
        <x:v>Privacy</x:v>
      </x:c>
      <x:c r="C9" s="42" t="str">
        <x:v>PII泄露或重识别</x:v>
      </x:c>
      <x:c r="D9" s="42" t="str">
        <x:v>Low</x:v>
      </x:c>
      <x:c r="E9" s="42" t="str">
        <x:v>Critical</x:v>
      </x:c>
      <x:c r="F9" s="42" t="str">
        <x:v>敏感字段进入日志/向量索引</x:v>
      </x:c>
      <x:c r="G9" s="42" t="str">
        <x:v>数据分级+脱敏+最小权限+删除演练</x:v>
      </x:c>
      <x:c r="H9" s="42" t="str">
        <x:v>Security Lead</x:v>
      </x:c>
      <x:c r="I9" s="43" t="str">
        <x:v>W10-W22</x:v>
      </x:c>
    </x:row>
    <x:row r="10" ht="42" customHeight="1">
      <x:c r="A10" s="41" t="str">
        <x:v>R06</x:v>
      </x:c>
      <x:c r="B10" s="42" t="str">
        <x:v>Agent reliability</x:v>
      </x:c>
      <x:c r="C10" s="42" t="str">
        <x:v>多Agent成本高但质量无增益</x:v>
      </x:c>
      <x:c r="D10" s="42" t="str">
        <x:v>High</x:v>
      </x:c>
      <x:c r="E10" s="42" t="str">
        <x:v>Medium</x:v>
      </x:c>
      <x:c r="F10" s="42" t="str">
        <x:v>调用数增长且错误率不降</x:v>
      </x:c>
      <x:c r="G10" s="42" t="str">
        <x:v>单Agent默认+委派增益指标+预算</x:v>
      </x:c>
      <x:c r="H10" s="42" t="str">
        <x:v>Agent Lead</x:v>
      </x:c>
      <x:c r="I10" s="43" t="str">
        <x:v>W1-W18</x:v>
      </x:c>
    </x:row>
    <x:row r="11" ht="42" customHeight="1">
      <x:c r="A11" s="41" t="str">
        <x:v>R07</x:v>
      </x:c>
      <x:c r="B11" s="42" t="str">
        <x:v>Reproducibility</x:v>
      </x:c>
      <x:c r="C11" s="42" t="str">
        <x:v>环境或数据版本不可复现</x:v>
      </x:c>
      <x:c r="D11" s="42" t="str">
        <x:v>High</x:v>
      </x:c>
      <x:c r="E11" s="42" t="str">
        <x:v>High</x:v>
      </x:c>
      <x:c r="F11" s="42" t="str">
        <x:v>结果无hash/lock/seed</x:v>
      </x:c>
      <x:c r="G11" s="42" t="str">
        <x:v>artifact manifest+容器+复现CI</x:v>
      </x:c>
      <x:c r="H11" s="42" t="str">
        <x:v>Compute Lead</x:v>
      </x:c>
      <x:c r="I11" s="43" t="str">
        <x:v>W9-W18</x:v>
      </x:c>
    </x:row>
    <x:row r="12" ht="42" customHeight="1">
      <x:c r="A12" s="41" t="str">
        <x:v>R08</x:v>
      </x:c>
      <x:c r="B12" s="42" t="str">
        <x:v>Model validity</x:v>
      </x:c>
      <x:c r="C12" s="42" t="str">
        <x:v>统计/优化模型形式正确但业务错误</x:v>
      </x:c>
      <x:c r="D12" s="42" t="str">
        <x:v>Medium</x:v>
      </x:c>
      <x:c r="E12" s="42" t="str">
        <x:v>High</x:v>
      </x:c>
      <x:c r="F12" s="42" t="str">
        <x:v>单位/约束/时序无法解释</x:v>
      </x:c>
      <x:c r="G12" s="42" t="str">
        <x:v>小实例+数据合同+方法审核+压力测试</x:v>
      </x:c>
      <x:c r="H12" s="42" t="str">
        <x:v>Method Lead</x:v>
      </x:c>
      <x:c r="I12" s="43" t="str">
        <x:v>W7-W18</x:v>
      </x:c>
    </x:row>
    <x:row r="13" ht="42" customHeight="1">
      <x:c r="A13" s="41" t="str">
        <x:v>R09</x:v>
      </x:c>
      <x:c r="B13" s="42" t="str">
        <x:v>Security</x:v>
      </x:c>
      <x:c r="C13" s="42" t="str">
        <x:v>生成代码逃逸沙箱</x:v>
      </x:c>
      <x:c r="D13" s="42" t="str">
        <x:v>Medium</x:v>
      </x:c>
      <x:c r="E13" s="42" t="str">
        <x:v>Critical</x:v>
      </x:c>
      <x:c r="F13" s="42" t="str">
        <x:v>网络/文件越界测试成功</x:v>
      </x:c>
      <x:c r="G13" s="42" t="str">
        <x:v>默认无网络+非root+资源限制+策略测试</x:v>
      </x:c>
      <x:c r="H13" s="42" t="str">
        <x:v>Security Lead</x:v>
      </x:c>
      <x:c r="I13" s="43" t="str">
        <x:v>W10-W14</x:v>
      </x:c>
    </x:row>
    <x:row r="14" ht="42" customHeight="1">
      <x:c r="A14" s="41" t="str">
        <x:v>R10</x:v>
      </x:c>
      <x:c r="B14" s="42" t="str">
        <x:v>Product scope</x:v>
      </x:c>
      <x:c r="C14" s="42" t="str">
        <x:v>过早做GUI/知识图导致延期</x:v>
      </x:c>
      <x:c r="D14" s="42" t="str">
        <x:v>High</x:v>
      </x:c>
      <x:c r="E14" s="42" t="str">
        <x:v>Medium</x:v>
      </x:c>
      <x:c r="F14" s="42" t="str">
        <x:v>内核不稳但前端页面膨胀</x:v>
      </x:c>
      <x:c r="G14" s="42" t="str">
        <x:v>Sprint退出指标+表格先行+ADR</x:v>
      </x:c>
      <x:c r="H14" s="42" t="str">
        <x:v>Product Lead</x:v>
      </x:c>
      <x:c r="I14" s="43" t="str">
        <x:v>W1-W10</x:v>
      </x:c>
    </x:row>
    <x:row r="15" ht="42" customHeight="1">
      <x:c r="A15" s="41" t="str">
        <x:v>R11</x:v>
      </x:c>
      <x:c r="B15" s="42" t="str">
        <x:v>Vendor</x:v>
      </x:c>
      <x:c r="C15" s="42" t="str">
        <x:v>外部API限流/字段变化</x:v>
      </x:c>
      <x:c r="D15" s="42" t="str">
        <x:v>High</x:v>
      </x:c>
      <x:c r="E15" s="42" t="str">
        <x:v>Medium</x:v>
      </x:c>
      <x:c r="F15" s="42" t="str">
        <x:v>错误率和空字段突升</x:v>
      </x:c>
      <x:c r="G15" s="42" t="str">
        <x:v>adapter+缓存+快照+fallback+契约测试</x:v>
      </x:c>
      <x:c r="H15" s="42" t="str">
        <x:v>Backend Lead</x:v>
      </x:c>
      <x:c r="I15" s="43" t="str">
        <x:v>W3-W22</x:v>
      </x:c>
    </x:row>
    <x:row r="16" ht="42" customHeight="1">
      <x:c r="A16" s="41" t="str">
        <x:v>R12</x:v>
      </x:c>
      <x:c r="B16" s="42" t="str">
        <x:v>Evaluation</x:v>
      </x:c>
      <x:c r="C16" s="42" t="str">
        <x:v>评测集被提示/模型过拟合</x:v>
      </x:c>
      <x:c r="D16" s="42" t="str">
        <x:v>Medium</x:v>
      </x:c>
      <x:c r="E16" s="42" t="str">
        <x:v>High</x:v>
      </x:c>
      <x:c r="F16" s="42" t="str">
        <x:v>离线高分线上高修改率</x:v>
      </x:c>
      <x:c r="G16" s="42" t="str">
        <x:v>隐藏集+线上审计+版本化+专家复核</x:v>
      </x:c>
      <x:c r="H16" s="42" t="str">
        <x:v>Research Lead</x:v>
      </x:c>
      <x:c r="I16" s="43" t="str">
        <x:v>W8-W24</x:v>
      </x:c>
    </x:row>
    <x:row r="17" ht="42" customHeight="1">
      <x:c r="A17" s="41" t="str">
        <x:v>R13</x:v>
      </x:c>
      <x:c r="B17" s="42" t="str">
        <x:v>Adoption</x:v>
      </x:c>
      <x:c r="C17" s="42" t="str">
        <x:v>研究者认为流程负担过重</x:v>
      </x:c>
      <x:c r="D17" s="42" t="str">
        <x:v>Medium</x:v>
      </x:c>
      <x:c r="E17" s="42" t="str">
        <x:v>High</x:v>
      </x:c>
      <x:c r="F17" s="42" t="str">
        <x:v>Gate绕过请求/中途流失</x:v>
      </x:c>
      <x:c r="G17" s="42" t="str">
        <x:v>渐进模板+自动填充+展示返工节省</x:v>
      </x:c>
      <x:c r="H17" s="42" t="str">
        <x:v>Product Lead</x:v>
      </x:c>
      <x:c r="I17" s="43" t="str">
        <x:v>W6-W24</x:v>
      </x:c>
    </x:row>
    <x:row r="18" ht="42" customHeight="1">
      <x:c r="A18" s="41" t="str">
        <x:v>R14</x:v>
      </x:c>
      <x:c r="B18" s="42" t="str">
        <x:v>Governance</x:v>
      </x:c>
      <x:c r="C18" s="42" t="str">
        <x:v>期刊AI披露政策变化</x:v>
      </x:c>
      <x:c r="D18" s="42" t="str">
        <x:v>Medium</x:v>
      </x:c>
      <x:c r="E18" s="42" t="str">
        <x:v>Medium</x:v>
      </x:c>
      <x:c r="F18" s="42" t="str">
        <x:v>用户导出不符合新政策</x:v>
      </x:c>
      <x:c r="G18" s="42" t="str">
        <x:v>政策配置+导出披露模板+定期复核</x:v>
      </x:c>
      <x:c r="H18" s="42" t="str">
        <x:v>Research Lead</x:v>
      </x:c>
      <x:c r="I18" s="43" t="str">
        <x:v>W15-W24</x:v>
      </x:c>
    </x:row>
    <x:row r="19" ht="42" customHeight="1">
      <x:c r="A19" s="44" t="str">
        <x:v>R15</x:v>
      </x:c>
      <x:c r="B19" s="45" t="str">
        <x:v>Commercial solvers</x:v>
      </x:c>
      <x:c r="C19" s="45" t="str">
        <x:v>求解器许可不可用或成本高</x:v>
      </x:c>
      <x:c r="D19" s="45" t="str">
        <x:v>Medium</x:v>
      </x:c>
      <x:c r="E19" s="45" t="str">
        <x:v>Medium</x:v>
      </x:c>
      <x:c r="F19" s="45" t="str">
        <x:v>CI/试点无法运行</x:v>
      </x:c>
      <x:c r="G19" s="45" t="str">
        <x:v>HiGHS/OR-Tools基线+license adapter</x:v>
      </x:c>
      <x:c r="H19" s="45" t="str">
        <x:v>Compute Lead</x:v>
      </x:c>
      <x:c r="I19" s="46" t="str">
        <x:v>W11-W18</x:v>
      </x:c>
    </x:row>
  </x:sheetData>
  <x:mergeCells>
    <x:mergeCell ref="A1:I1"/>
    <x:mergeCell ref="A2:I2"/>
  </x:mergeCells>
  <x:conditionalFormatting sqref="E5:E19">
    <x:cfRule type="containsText" dxfId="6" priority="1" operator="containsText" text="Critical"/>
    <x:cfRule type="containsText" dxfId="7" priority="2" operator="containsText" text="High"/>
  </x:conditionalFormatting>
  <x:pageMargins left="0.7" right="0.7" top="0.75" bottom="0.75" header="0.3" footer="0.3"/>
  <x:tableParts count="1">
    <x:tablePart xmlns:r="http://schemas.openxmlformats.org/officeDocument/2006/relationships" r:id="R22e84d2a96314e7f"/>
  </x:tableParts>
</x:worksheet>
</file>

<file path=xl/worksheets/sheet9.xml><?xml version="1.0" encoding="utf-8"?>
<x:worksheet xmlns:x="http://schemas.openxmlformats.org/spreadsheetml/2006/main">
  <x:sheetFormatPr defaultRowHeight="15"/>
  <x:cols>
    <x:col min="1" max="1" width="20" hidden="0" customWidth="1"/>
    <x:col min="2" max="2" width="32" hidden="0" customWidth="1"/>
    <x:col min="3" max="3" width="36" hidden="0" customWidth="1"/>
    <x:col min="4" max="4" width="25" hidden="0" customWidth="1"/>
    <x:col min="5" max="5" width="24" hidden="0" customWidth="1"/>
    <x:col min="6" max="6" width="34" hidden="0" customWidth="1"/>
    <x:col min="7" max="7" width="13" hidden="0" customWidth="1"/>
    <x:col min="8" max="8" width="16" hidden="0" customWidth="1"/>
  </x:cols>
  <x:sheetData>
    <x:row r="1" ht="30" customHeight="1">
      <x:c r="A1" s="157" t="str">
        <x:v>Topic Scout: From Research Idea to Auditable Topic Decision</x:v>
      </x:c>
      <x:c r="B1" s="157"/>
      <x:c r="C1" s="157"/>
      <x:c r="D1" s="157"/>
      <x:c r="E1" s="157"/>
      <x:c r="F1" s="157"/>
      <x:c r="G1" s="157"/>
      <x:c r="H1" s="157"/>
    </x:row>
    <x:row r="2" ht="38" customHeight="1">
      <x:c r="A2" s="161" t="str">
        <x:v>Non-technical operating view: search existing research, map evidence, test gaps, compare feasible topics, and require a human G0 decision.</x:v>
      </x:c>
      <x:c r="B2" s="161"/>
      <x:c r="C2" s="161"/>
      <x:c r="D2" s="161"/>
      <x:c r="E2" s="161"/>
      <x:c r="F2" s="161"/>
      <x:c r="G2" s="161"/>
      <x:c r="H2" s="161"/>
    </x:row>
    <x:row r="4" ht="30" customHeight="1">
      <x:c r="A4" s="163" t="str">
        <x:v>Stage</x:v>
      </x:c>
      <x:c r="B4" s="163" t="str">
        <x:v>What researcher does</x:v>
      </x:c>
      <x:c r="C4" s="163" t="str">
        <x:v>What AI assists</x:v>
      </x:c>
      <x:c r="D4" s="163" t="str">
        <x:v>Main output</x:v>
      </x:c>
      <x:c r="E4" s="163" t="str">
        <x:v>Human gate</x:v>
      </x:c>
      <x:c r="F4" s="163" t="str">
        <x:v>Evidence rule</x:v>
      </x:c>
      <x:c r="G4" s="163" t="str">
        <x:v>MVP</x:v>
      </x:c>
      <x:c r="H4" s="163" t="str">
        <x:v>Acceptance</x:v>
      </x:c>
    </x:row>
    <x:row r="5" ht="52" customHeight="1">
      <x:c r="A5" s="163" t="str">
        <x:v>1 · Frame idea</x:v>
      </x:c>
      <x:c r="B5" s="163" t="str">
        <x:v>Describe phenomenon, decision, outcome, and boundary</x:v>
      </x:c>
      <x:c r="C5" s="163" t="str">
        <x:v>Clarify terms, actors, time, geography, and exclusions</x:v>
      </x:c>
      <x:c r="D5" s="163" t="str">
        <x:v>TopicBrief v1</x:v>
      </x:c>
      <x:c r="E5" s="163" t="str">
        <x:v>Confirm scope</x:v>
      </x:c>
      <x:c r="F5" s="163" t="str">
        <x:v>A hypothesis is not evidence</x:v>
      </x:c>
      <x:c r="G5" s="163" t="str">
        <x:v>Yes</x:v>
      </x:c>
      <x:c r="H5" s="163" t="str">
        <x:v>A21</x:v>
      </x:c>
    </x:row>
    <x:row r="6" ht="52" customHeight="1">
      <x:c r="A6" s="163" t="str">
        <x:v>2 · Plan search</x:v>
      </x:c>
      <x:c r="B6" s="163" t="str">
        <x:v>Review concept blocks, years, databases, and languages</x:v>
      </x:c>
      <x:c r="C6" s="163" t="str">
        <x:v>Build multilingual queries and horizon / systematic / counter-search stages</x:v>
      </x:c>
      <x:c r="D6" s="163" t="str">
        <x:v>SearchProtocol</x:v>
      </x:c>
      <x:c r="E6" s="163" t="str">
        <x:v>Approve search</x:v>
      </x:c>
      <x:c r="F6" s="163" t="str">
        <x:v>Queries, dates, filters, counts, and errors are logged</x:v>
      </x:c>
      <x:c r="G6" s="163" t="str">
        <x:v>Yes</x:v>
      </x:c>
      <x:c r="H6" s="163" t="str">
        <x:v>A21 · A28</x:v>
      </x:c>
    </x:row>
    <x:row r="7" ht="52" customHeight="1">
      <x:c r="A7" s="163" t="str">
        <x:v>3 · Map evidence</x:v>
      </x:c>
      <x:c r="B7" s="163" t="str">
        <x:v>Review research streams and representative papers</x:v>
      </x:c>
      <x:c r="C7" s="163" t="str">
        <x:v>Cluster consensus, conflict, unknowns, methods, and datasets</x:v>
      </x:c>
      <x:c r="D7" s="163" t="str">
        <x:v>ResearchStream map</x:v>
      </x:c>
      <x:c r="E7" s="163" t="str">
        <x:v>Review included / excluded</x:v>
      </x:c>
      <x:c r="F7" s="163" t="str">
        <x:v>Every synthesis links to paper and evidence IDs</x:v>
      </x:c>
      <x:c r="G7" s="163" t="str">
        <x:v>Yes</x:v>
      </x:c>
      <x:c r="H7" s="163" t="str">
        <x:v>A23 · A24</x:v>
      </x:c>
    </x:row>
    <x:row r="8" ht="52" customHeight="1">
      <x:c r="A8" s="163" t="str">
        <x:v>4 · Test gaps</x:v>
      </x:c>
      <x:c r="B8" s="163" t="str">
        <x:v>Inspect proposed gaps and counter-search results</x:v>
      </x:c>
      <x:c r="C8" s="163" t="str">
        <x:v>Classify six gap types and search for disconfirming or adjacent work</x:v>
      </x:c>
      <x:c r="D8" s="163" t="str">
        <x:v>GapCandidates</x:v>
      </x:c>
      <x:c r="E8" s="163" t="str">
        <x:v>Reject weak gaps</x:v>
      </x:c>
      <x:c r="F8" s="163" t="str">
        <x:v>Never equate not found with non-existence</x:v>
      </x:c>
      <x:c r="G8" s="163" t="str">
        <x:v>Yes</x:v>
      </x:c>
      <x:c r="H8" s="163" t="str">
        <x:v>A25 · A26</x:v>
      </x:c>
    </x:row>
    <x:row r="9" ht="52" customHeight="1">
      <x:c r="A9" s="163" t="str">
        <x:v>5 · Decide topic</x:v>
      </x:c>
      <x:c r="B9" s="163" t="str">
        <x:v>Compare 2–3 topic candidates on value and feasibility</x:v>
      </x:c>
      <x:c r="C9" s="163" t="str">
        <x:v>Link novelty, data, method, effort, and risk into a decision matrix</x:v>
      </x:c>
      <x:c r="D9" s="163" t="str">
        <x:v>TopicCandidates</x:v>
      </x:c>
      <x:c r="E9" s="163" t="str">
        <x:v>G0: approve / hold / reject</x:v>
      </x:c>
      <x:c r="F9" s="163" t="str">
        <x:v>Each candidate is evidence-linked; AI cannot self-approve</x:v>
      </x:c>
      <x:c r="G9" s="163" t="str">
        <x:v>Yes</x:v>
      </x:c>
      <x:c r="H9" s="163" t="str">
        <x:v>A26 · A30</x:v>
      </x:c>
    </x:row>
    <x:row r="10" ht="52" customHeight="1">
      <x:c r="A10" s="163" t="str">
        <x:v>6 · Watch changes</x:v>
      </x:c>
      <x:c r="B10" s="163" t="str">
        <x:v>Subscribe to queries, authors, venues, and key papers</x:v>
      </x:c>
      <x:c r="C10" s="163" t="str">
        <x:v>Detect new evidence and show what may change</x:v>
      </x:c>
      <x:c r="D10" s="163" t="str">
        <x:v>Watchlist update</x:v>
      </x:c>
      <x:c r="E10" s="163" t="str">
        <x:v>Choose whether to revise</x:v>
      </x:c>
      <x:c r="F10" s="163" t="str">
        <x:v>Approved reports never change silently</x:v>
      </x:c>
      <x:c r="G10" s="163" t="str">
        <x:v>P1</x:v>
      </x:c>
      <x:c r="H10" s="163" t="str">
        <x:v>A29</x:v>
      </x:c>
    </x:row>
    <x:row r="11">
      <x:c r="A11" s="163"/>
      <x:c r="B11" s="163"/>
      <x:c r="C11" s="163"/>
      <x:c r="D11" s="163"/>
      <x:c r="E11" s="163"/>
      <x:c r="F11" s="163"/>
      <x:c r="G11" s="163"/>
      <x:c r="H11" s="163"/>
    </x:row>
    <x:row r="12">
      <x:c r="A12" s="163"/>
      <x:c r="B12" s="163"/>
      <x:c r="C12" s="163"/>
      <x:c r="D12" s="163"/>
      <x:c r="E12" s="163"/>
      <x:c r="F12" s="163"/>
      <x:c r="G12" s="163"/>
      <x:c r="H12" s="163"/>
    </x:row>
    <x:row r="13" ht="30" customHeight="1">
      <x:c r="A13" s="163" t="str">
        <x:v>Report section</x:v>
      </x:c>
      <x:c r="B13" s="163" t="str">
        <x:v>Question answered</x:v>
      </x:c>
      <x:c r="C13" s="163" t="str">
        <x:v>Main evidence</x:v>
      </x:c>
      <x:c r="D13" s="163" t="str">
        <x:v>System output</x:v>
      </x:c>
      <x:c r="E13" s="163" t="str">
        <x:v>Human action</x:v>
      </x:c>
      <x:c r="F13" s="163" t="str">
        <x:v>Hard boundary</x:v>
      </x:c>
      <x:c r="G13" s="163" t="str">
        <x:v>MVP</x:v>
      </x:c>
      <x:c r="H13" s="163" t="str">
        <x:v>Owner</x:v>
      </x:c>
    </x:row>
    <x:row r="14" ht="50" customHeight="1">
      <x:c r="A14" s="163" t="str">
        <x:v>1 · Decision summary</x:v>
      </x:c>
      <x:c r="B14" s="163" t="str">
        <x:v>Should we continue exploring this topic?</x:v>
      </x:c>
      <x:c r="C14" s="163" t="str">
        <x:v>Coverage, findings, feasibility</x:v>
      </x:c>
      <x:c r="D14" s="163" t="str">
        <x:v>One-page decision view</x:v>
      </x:c>
      <x:c r="E14" s="163" t="str">
        <x:v>Read first; record concerns</x:v>
      </x:c>
      <x:c r="F14" s="163" t="str">
        <x:v>No automatic go decision</x:v>
      </x:c>
      <x:c r="G14" s="163" t="str">
        <x:v>Yes</x:v>
      </x:c>
      <x:c r="H14" s="163" t="str">
        <x:v>Research lead</x:v>
      </x:c>
    </x:row>
    <x:row r="15" ht="50" customHeight="1">
      <x:c r="A15" s="163" t="str">
        <x:v>2 · Question boundary</x:v>
      </x:c>
      <x:c r="B15" s="163" t="str">
        <x:v>What exactly is in and out?</x:v>
      </x:c>
      <x:c r="C15" s="163" t="str">
        <x:v>TopicBrief and term map</x:v>
      </x:c>
      <x:c r="D15" s="163" t="str">
        <x:v>Scope, definitions, exclusions</x:v>
      </x:c>
      <x:c r="E15" s="163" t="str">
        <x:v>Edit ambiguity</x:v>
      </x:c>
      <x:c r="F15" s="163" t="str">
        <x:v>Unknowns stay explicit</x:v>
      </x:c>
      <x:c r="G15" s="163" t="str">
        <x:v>Yes</x:v>
      </x:c>
      <x:c r="H15" s="163" t="str">
        <x:v>Researcher</x:v>
      </x:c>
    </x:row>
    <x:row r="16" ht="50" customHeight="1">
      <x:c r="A16" s="163" t="str">
        <x:v>3 · Search audit</x:v>
      </x:c>
      <x:c r="B16" s="163" t="str">
        <x:v>Where and how did we search?</x:v>
      </x:c>
      <x:c r="C16" s="163" t="str">
        <x:v>Queries, databases, dates, counts, errors</x:v>
      </x:c>
      <x:c r="D16" s="163" t="str">
        <x:v>Reproducible SearchProtocol</x:v>
      </x:c>
      <x:c r="E16" s="163" t="str">
        <x:v>Approve or request wider coverage</x:v>
      </x:c>
      <x:c r="F16" s="163" t="str">
        <x:v>No hidden query expansion</x:v>
      </x:c>
      <x:c r="G16" s="163" t="str">
        <x:v>Yes</x:v>
      </x:c>
      <x:c r="H16" s="163" t="str">
        <x:v>Researcher</x:v>
      </x:c>
    </x:row>
    <x:row r="17" ht="50" customHeight="1">
      <x:c r="A17" s="163" t="str">
        <x:v>4 · Research landscape</x:v>
      </x:c>
      <x:c r="B17" s="163" t="str">
        <x:v>What streams already exist?</x:v>
      </x:c>
      <x:c r="C17" s="163" t="str">
        <x:v>Representative and recent papers</x:v>
      </x:c>
      <x:c r="D17" s="163" t="str">
        <x:v>Stream map and key-paper table</x:v>
      </x:c>
      <x:c r="E17" s="163" t="str">
        <x:v>Check missing schools / regions</x:v>
      </x:c>
      <x:c r="F17" s="163" t="str">
        <x:v>Citation is not quality</x:v>
      </x:c>
      <x:c r="G17" s="163" t="str">
        <x:v>Yes</x:v>
      </x:c>
      <x:c r="H17" s="163" t="str">
        <x:v>Evidence lead</x:v>
      </x:c>
    </x:row>
    <x:row r="18" ht="50" customHeight="1">
      <x:c r="A18" s="163" t="str">
        <x:v>5 · Findings</x:v>
      </x:c>
      <x:c r="B18" s="163" t="str">
        <x:v>What is known, disputed, or unknown?</x:v>
      </x:c>
      <x:c r="C18" s="163" t="str">
        <x:v>Paper-level evidence and locators</x:v>
      </x:c>
      <x:c r="D18" s="163" t="str">
        <x:v>Consensus / conflict / unknown synthesis</x:v>
      </x:c>
      <x:c r="E18" s="163" t="str">
        <x:v>Verify high-impact conclusions</x:v>
      </x:c>
      <x:c r="F18" s="163" t="str">
        <x:v>No unsupported summary</x:v>
      </x:c>
      <x:c r="G18" s="163" t="str">
        <x:v>Yes</x:v>
      </x:c>
      <x:c r="H18" s="163" t="str">
        <x:v>Evidence lead</x:v>
      </x:c>
    </x:row>
    <x:row r="19" ht="50" customHeight="1">
      <x:c r="A19" s="163" t="str">
        <x:v>6 · Gap audit</x:v>
      </x:c>
      <x:c r="B19" s="163" t="str">
        <x:v>Is the claimed gap defensible?</x:v>
      </x:c>
      <x:c r="C19" s="163" t="str">
        <x:v>Counter-search and coverage limits</x:v>
      </x:c>
      <x:c r="D19" s="163" t="str">
        <x:v>Gap type, support, caveat, status</x:v>
      </x:c>
      <x:c r="E19" s="163" t="str">
        <x:v>Approve only supported gaps</x:v>
      </x:c>
      <x:c r="F19" s="163" t="str">
        <x:v>No absolute originality claim</x:v>
      </x:c>
      <x:c r="G19" s="163" t="str">
        <x:v>Yes</x:v>
      </x:c>
      <x:c r="H19" s="163" t="str">
        <x:v>Research lead</x:v>
      </x:c>
    </x:row>
    <x:row r="20" ht="50" customHeight="1">
      <x:c r="A20" s="163" t="str">
        <x:v>7 · Topic candidates</x:v>
      </x:c>
      <x:c r="B20" s="163" t="str">
        <x:v>Which 2–3 questions are worth doing?</x:v>
      </x:c>
      <x:c r="C20" s="163" t="str">
        <x:v>Gap + data + method + value + effort</x:v>
      </x:c>
      <x:c r="D20" s="163" t="str">
        <x:v>Comparable candidate cards</x:v>
      </x:c>
      <x:c r="E20" s="163" t="str">
        <x:v>Choose, hold, or reject</x:v>
      </x:c>
      <x:c r="F20" s="163" t="str">
        <x:v>Feasibility is not novelty</x:v>
      </x:c>
      <x:c r="G20" s="163" t="str">
        <x:v>Yes</x:v>
      </x:c>
      <x:c r="H20" s="163" t="str">
        <x:v>Research lead</x:v>
      </x:c>
    </x:row>
    <x:row r="21" ht="50" customHeight="1">
      <x:c r="A21" s="163" t="str">
        <x:v>8 · Data / method feasibility</x:v>
      </x:c>
      <x:c r="B21" s="163" t="str">
        <x:v>Can this topic actually be studied?</x:v>
      </x:c>
      <x:c r="C21" s="163" t="str">
        <x:v>Source access, design assumptions, skills</x:v>
      </x:c>
      <x:c r="D21" s="163" t="str">
        <x:v>Feasibility and risk matrix</x:v>
      </x:c>
      <x:c r="E21" s="163" t="str">
        <x:v>Confirm access and constraints</x:v>
      </x:c>
      <x:c r="F21" s="163" t="str">
        <x:v>License and ethics gates apply</x:v>
      </x:c>
      <x:c r="G21" s="163" t="str">
        <x:v>Yes</x:v>
      </x:c>
      <x:c r="H21" s="163" t="str">
        <x:v>Method / data</x:v>
      </x:c>
    </x:row>
    <x:row r="22" ht="50" customHeight="1">
      <x:c r="A22" s="163" t="str">
        <x:v>9 · Appendix</x:v>
      </x:c>
      <x:c r="B22" s="163" t="str">
        <x:v>Can another person reproduce the report?</x:v>
      </x:c>
      <x:c r="C22" s="163" t="str">
        <x:v>Snapshots, IDs, exclusions, versions</x:v>
      </x:c>
      <x:c r="D22" s="163" t="str">
        <x:v>Audit appendix and export</x:v>
      </x:c>
      <x:c r="E22" s="163" t="str">
        <x:v>Archive with decision</x:v>
      </x:c>
      <x:c r="F22" s="163" t="str">
        <x:v>Restricted full text stays protected</x:v>
      </x:c>
      <x:c r="G22" s="163" t="str">
        <x:v>Yes</x:v>
      </x:c>
      <x:c r="H22" s="163" t="str">
        <x:v>System</x:v>
      </x:c>
    </x:row>
    <x:row r="23">
      <x:c r="A23" s="163"/>
      <x:c r="B23" s="163"/>
      <x:c r="C23" s="163"/>
      <x:c r="D23" s="163"/>
      <x:c r="E23" s="163"/>
      <x:c r="F23" s="163"/>
      <x:c r="G23" s="163"/>
      <x:c r="H23" s="163"/>
    </x:row>
    <x:row r="24">
      <x:c r="A24" s="163"/>
      <x:c r="B24" s="163"/>
      <x:c r="C24" s="163"/>
      <x:c r="D24" s="163"/>
      <x:c r="E24" s="163"/>
      <x:c r="F24" s="163"/>
      <x:c r="G24" s="163"/>
      <x:c r="H24" s="163"/>
    </x:row>
    <x:row r="25" ht="30" customHeight="1">
      <x:c r="A25" s="163" t="str">
        <x:v>ID</x:v>
      </x:c>
      <x:c r="B25" s="163" t="str">
        <x:v>Acceptance focus</x:v>
      </x:c>
      <x:c r="C25" s="163" t="str">
        <x:v>Test input</x:v>
      </x:c>
      <x:c r="D25" s="163" t="str">
        <x:v>Pass condition</x:v>
      </x:c>
      <x:c r="E25" s="163" t="str">
        <x:v>Target</x:v>
      </x:c>
      <x:c r="F25" s="163" t="str">
        <x:v>Owner</x:v>
      </x:c>
      <x:c r="G25" s="163" t="str">
        <x:v>Gate</x:v>
      </x:c>
      <x:c r="H25" s="163" t="str">
        <x:v>MVP</x:v>
      </x:c>
    </x:row>
    <x:row r="26" ht="44" customHeight="1">
      <x:c r="A26" s="163" t="str">
        <x:v>A21</x:v>
      </x:c>
      <x:c r="B26" s="163" t="str">
        <x:v>Search coverage</x:v>
      </x:c>
      <x:c r="C26" s="163" t="str">
        <x:v>10 management-science topics + expert seeds</x:v>
      </x:c>
      <x:c r="D26" s="163" t="str">
        <x:v>Seed Recall@50 ≥ 0.90</x:v>
      </x:c>
      <x:c r="E26" s="163" t="str">
        <x:v>W6</x:v>
      </x:c>
      <x:c r="F26" s="163" t="str">
        <x:v>Research</x:v>
      </x:c>
      <x:c r="G26" s="163" t="str">
        <x:v>G0</x:v>
      </x:c>
      <x:c r="H26" s="163" t="str">
        <x:v>Yes</x:v>
      </x:c>
    </x:row>
    <x:row r="27" ht="44" customHeight="1">
      <x:c r="A27" s="163" t="str">
        <x:v>A22</x:v>
      </x:c>
      <x:c r="B27" s="163" t="str">
        <x:v>Deduplication</x:v>
      </x:c>
      <x:c r="C27" s="163" t="str">
        <x:v>DOI, title variants, preprint / final</x:v>
      </x:c>
      <x:c r="D27" s="163" t="str">
        <x:v>Accuracy ≥ 98%; version relation retained</x:v>
      </x:c>
      <x:c r="E27" s="163" t="str">
        <x:v>W6</x:v>
      </x:c>
      <x:c r="F27" s="163" t="str">
        <x:v>Backend</x:v>
      </x:c>
      <x:c r="G27" s="163" t="str">
        <x:v>G0</x:v>
      </x:c>
      <x:c r="H27" s="163" t="str">
        <x:v>Yes</x:v>
      </x:c>
    </x:row>
    <x:row r="28" ht="44" customHeight="1">
      <x:c r="A28" s="163" t="str">
        <x:v>A23</x:v>
      </x:c>
      <x:c r="B28" s="163" t="str">
        <x:v>Reference truth</x:v>
      </x:c>
      <x:c r="C28" s="163" t="str">
        <x:v>All report references and identifiers</x:v>
      </x:c>
      <x:c r="D28" s="163" t="str">
        <x:v>Identifier accuracy ≥ 99%; fabricated references = 0</x:v>
      </x:c>
      <x:c r="E28" s="163" t="str">
        <x:v>W6</x:v>
      </x:c>
      <x:c r="F28" s="163" t="str">
        <x:v>Backend</x:v>
      </x:c>
      <x:c r="G28" s="163" t="str">
        <x:v>G0</x:v>
      </x:c>
      <x:c r="H28" s="163" t="str">
        <x:v>Yes</x:v>
      </x:c>
    </x:row>
    <x:row r="29" ht="44" customHeight="1">
      <x:c r="A29" s="163" t="str">
        <x:v>A24</x:v>
      </x:c>
      <x:c r="B29" s="163" t="str">
        <x:v>Traceability</x:v>
      </x:c>
      <x:c r="C29" s="163" t="str">
        <x:v>Core synthesis claims</x:v>
      </x:c>
      <x:c r="D29" s="163" t="str">
        <x:v>100% linked to paper / evidence IDs and snapshot</x:v>
      </x:c>
      <x:c r="E29" s="163" t="str">
        <x:v>W6</x:v>
      </x:c>
      <x:c r="F29" s="163" t="str">
        <x:v>Evidence</x:v>
      </x:c>
      <x:c r="G29" s="163" t="str">
        <x:v>G0</x:v>
      </x:c>
      <x:c r="H29" s="163" t="str">
        <x:v>Yes</x:v>
      </x:c>
    </x:row>
    <x:row r="30" ht="44" customHeight="1">
      <x:c r="A30" s="163" t="str">
        <x:v>A25</x:v>
      </x:c>
      <x:c r="B30" s="163" t="str">
        <x:v>Novelty honesty</x:v>
      </x:c>
      <x:c r="C30" s="163" t="str">
        <x:v>Missing database, term variants, adjacent papers</x:v>
      </x:c>
      <x:c r="D30" s="163" t="str">
        <x:v>not_found distinguished from non-existence; no absolute originality</x:v>
      </x:c>
      <x:c r="E30" s="163" t="str">
        <x:v>W6</x:v>
      </x:c>
      <x:c r="F30" s="163" t="str">
        <x:v>Research</x:v>
      </x:c>
      <x:c r="G30" s="163" t="str">
        <x:v>G0</x:v>
      </x:c>
      <x:c r="H30" s="163" t="str">
        <x:v>Yes</x:v>
      </x:c>
    </x:row>
    <x:row r="31" ht="44" customHeight="1">
      <x:c r="A31" s="163" t="str">
        <x:v>A26</x:v>
      </x:c>
      <x:c r="B31" s="163" t="str">
        <x:v>Gap review</x:v>
      </x:c>
      <x:c r="C31" s="163" t="str">
        <x:v>Every supported_gap</x:v>
      </x:c>
      <x:c r="D31" s="163" t="str">
        <x:v>Counter-search, coverage limits, and human approval present</x:v>
      </x:c>
      <x:c r="E31" s="163" t="str">
        <x:v>W8</x:v>
      </x:c>
      <x:c r="F31" s="163" t="str">
        <x:v>Research</x:v>
      </x:c>
      <x:c r="G31" s="163" t="str">
        <x:v>G0</x:v>
      </x:c>
      <x:c r="H31" s="163" t="str">
        <x:v>Yes</x:v>
      </x:c>
    </x:row>
    <x:row r="32" ht="44" customHeight="1">
      <x:c r="A32" s="163" t="str">
        <x:v>A27</x:v>
      </x:c>
      <x:c r="B32" s="163" t="str">
        <x:v>Non-technical clarity</x:v>
      </x:c>
      <x:c r="C32" s="163" t="str">
        <x:v>5 non-technical readers</x:v>
      </x:c>
      <x:c r="D32" s="163" t="str">
        <x:v>≥80% correctly identify landscape, dispute, candidates, next step in 10 min</x:v>
      </x:c>
      <x:c r="E32" s="163" t="str">
        <x:v>W8</x:v>
      </x:c>
      <x:c r="F32" s="163" t="str">
        <x:v>Product</x:v>
      </x:c>
      <x:c r="G32" s="163" t="str">
        <x:v>G0</x:v>
      </x:c>
      <x:c r="H32" s="163" t="str">
        <x:v>Yes</x:v>
      </x:c>
    </x:row>
    <x:row r="33" ht="44" customHeight="1">
      <x:c r="A33" s="163" t="str">
        <x:v>A28</x:v>
      </x:c>
      <x:c r="B33" s="163" t="str">
        <x:v>Search reproducibility</x:v>
      </x:c>
      <x:c r="C33" s="163" t="str">
        <x:v>Replay the same SearchProtocol</x:v>
      </x:c>
      <x:c r="D33" s="163" t="str">
        <x:v>Database, query, date, filters, counts, snapshots complete</x:v>
      </x:c>
      <x:c r="E33" s="163" t="str">
        <x:v>W6</x:v>
      </x:c>
      <x:c r="F33" s="163" t="str">
        <x:v>Backend</x:v>
      </x:c>
      <x:c r="G33" s="163" t="str">
        <x:v>G0</x:v>
      </x:c>
      <x:c r="H33" s="163" t="str">
        <x:v>Yes</x:v>
      </x:c>
    </x:row>
    <x:row r="34" ht="44" customHeight="1">
      <x:c r="A34" s="163" t="str">
        <x:v>A29</x:v>
      </x:c>
      <x:c r="B34" s="163" t="str">
        <x:v>Full-text license</x:v>
      </x:c>
      <x:c r="C34" s="163" t="str">
        <x:v>Restricted PDF sent toward external model</x:v>
      </x:c>
      <x:c r="D34" s="163" t="str">
        <x:v>Blocked; logs contain no leaked original text</x:v>
      </x:c>
      <x:c r="E34" s="163" t="str">
        <x:v>W10</x:v>
      </x:c>
      <x:c r="F34" s="163" t="str">
        <x:v>Security</x:v>
      </x:c>
      <x:c r="G34" s="163" t="str">
        <x:v>G0</x:v>
      </x:c>
      <x:c r="H34" s="163" t="str">
        <x:v>Yes</x:v>
      </x:c>
    </x:row>
    <x:row r="35" ht="44" customHeight="1">
      <x:c r="A35" s="163" t="str">
        <x:v>A30</x:v>
      </x:c>
      <x:c r="B35" s="163" t="str">
        <x:v>G0 conversion</x:v>
      </x:c>
      <x:c r="C35" s="163" t="str">
        <x:v>Approved candidate → Protocol draft</x:v>
      </x:c>
      <x:c r="D35" s="163" t="str">
        <x:v>No silent field loss; unknowns = needs_input; AI cannot self-approve</x:v>
      </x:c>
      <x:c r="E35" s="163" t="str">
        <x:v>W8</x:v>
      </x:c>
      <x:c r="F35" s="163" t="str">
        <x:v>Backend</x:v>
      </x:c>
      <x:c r="G35" s="163" t="str">
        <x:v>G0</x:v>
      </x:c>
      <x:c r="H35" s="163" t="str">
        <x:v>Yes</x:v>
      </x:c>
    </x:row>
  </x:sheetData>
  <x:mergeCells>
    <x:mergeCell ref="A1:H1"/>
    <x:mergeCell ref="A2:H2"/>
  </x:mergeCells>
  <x:pageMargins left="0.7" right="0.7" top="0.75" bottom="0.75" header="0.3" footer="0.3"/>
  <x:tableParts count="3">
    <x:tablePart xmlns:r="http://schemas.openxmlformats.org/officeDocument/2006/relationships" r:id="R6be2cc41aa5d4259"/>
    <x:tablePart xmlns:r="http://schemas.openxmlformats.org/officeDocument/2006/relationships" r:id="Rd63ab2645b46408f"/>
    <x:tablePart xmlns:r="http://schemas.openxmlformats.org/officeDocument/2006/relationships" r:id="R2e6a25d8c7a3449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7" hidden="0" customWidth="1"/>
    <x:col min="3" max="3" width="35" hidden="0" customWidth="1"/>
    <x:col min="4" max="4" width="31" hidden="0" customWidth="1"/>
    <x:col min="5" max="5" width="29" hidden="0" customWidth="1"/>
    <x:col min="6" max="6" width="15" hidden="0" customWidth="1"/>
    <x:col min="7" max="7" width="31" hidden="0" customWidth="1"/>
    <x:col min="8" max="8" width="25" hidden="0" customWidth="1"/>
  </x:cols>
  <x:sheetData>
    <x:row r="1" ht="30" customHeight="1">
      <x:c r="A1" s="168" t="str">
        <x:v>S0–S9 Stage Agents + Human Approval Gates</x:v>
      </x:c>
      <x:c r="B1" s="168"/>
      <x:c r="C1" s="168"/>
      <x:c r="D1" s="168"/>
      <x:c r="E1" s="168"/>
      <x:c r="F1" s="168"/>
      <x:c r="G1" s="168"/>
      <x:c r="H1" s="168"/>
    </x:row>
    <x:row r="2" ht="32" customHeight="1">
      <x:c r="A2" s="172" t="str">
        <x:v>One principal agent per stage; AI drafts and proposes patches, while people edit, approve, branch, and remain accountable.</x:v>
      </x:c>
      <x:c r="B2" s="172"/>
      <x:c r="C2" s="172"/>
      <x:c r="D2" s="172"/>
      <x:c r="E2" s="172"/>
      <x:c r="F2" s="172"/>
      <x:c r="G2" s="172"/>
      <x:c r="H2" s="172"/>
    </x:row>
    <x:row r="4">
      <x:c r="A4" s="181" t="str">
        <x:v>Stage</x:v>
      </x:c>
      <x:c r="B4" s="182" t="str">
        <x:v>Principal Agent</x:v>
      </x:c>
      <x:c r="C4" s="182" t="str">
        <x:v>Agent Delivers</x:v>
      </x:c>
      <x:c r="D4" s="182" t="str">
        <x:v>Human Controls</x:v>
      </x:c>
      <x:c r="E4" s="182" t="str">
        <x:v>Editable Asset</x:v>
      </x:c>
      <x:c r="F4" s="182" t="str">
        <x:v>Gate / Check</x:v>
      </x:c>
      <x:c r="G4" s="182" t="str">
        <x:v>Hard Boundary</x:v>
      </x:c>
      <x:c r="H4" s="183" t="str">
        <x:v>Exit Condition</x:v>
      </x:c>
    </x:row>
    <x:row r="5" ht="54" customHeight="1">
      <x:c r="A5" s="184" t="str">
        <x:v>S0 · Idea &amp; Topic</x:v>
      </x:c>
      <x:c r="B5" s="184" t="str">
        <x:v>Topic Agent</x:v>
      </x:c>
      <x:c r="C5" s="184" t="str">
        <x:v>Clarify, search prior work, map streams/conflicts, counter-search gaps, compare topics</x:v>
      </x:c>
      <x:c r="D5" s="184" t="str">
        <x:v>Edit boundary and seeds; choose, rewrite, hold, or stop</x:v>
      </x:c>
      <x:c r="E5" s="184" t="str">
        <x:v>TopicBrief · RelatedResearchReport · TopicCandidate</x:v>
      </x:c>
      <x:c r="F5" s="184" t="str">
        <x:v>G0</x:v>
      </x:c>
      <x:c r="G5" s="184" t="str">
        <x:v>AI cannot certify novelty or self-approve</x:v>
      </x:c>
      <x:c r="H5" s="184" t="str">
        <x:v>Approved topic or explicit stop</x:v>
      </x:c>
    </x:row>
    <x:row r="6" ht="54" customHeight="1">
      <x:c r="A6" s="185" t="str">
        <x:v>S1 · Literature</x:v>
      </x:c>
      <x:c r="B6" s="185" t="str">
        <x:v>Literature Agent</x:v>
      </x:c>
      <x:c r="C6" s="185" t="str">
        <x:v>Multi-source queries, dedupe, screening suggestions, PaperCards, citation checks</x:v>
      </x:c>
      <x:c r="D6" s="185" t="str">
        <x:v>Edit queries; decide inclusion/exclusion; correct cards</x:v>
      </x:c>
      <x:c r="E6" s="185" t="str">
        <x:v>SearchProtocol · ScreeningDecision · PaperCard</x:v>
      </x:c>
      <x:c r="F6" s="185" t="str">
        <x:v>Coverage / truth</x:v>
      </x:c>
      <x:c r="G6" s="185" t="str">
        <x:v>Every synthesis links to evidence; restricted text stays protected</x:v>
      </x:c>
      <x:c r="H6" s="185" t="str">
        <x:v>Auditable evidence set</x:v>
      </x:c>
    </x:row>
    <x:row r="7" ht="54" customHeight="1">
      <x:c r="A7" s="185" t="str">
        <x:v>S2 · Theory</x:v>
      </x:c>
      <x:c r="B7" s="185" t="str">
        <x:v>Theory Agent</x:v>
      </x:c>
      <x:c r="C7" s="185" t="str">
        <x:v>Define constructs, mechanisms, rival explanations, falsifiable RQs and hypotheses</x:v>
      </x:c>
      <x:c r="D7" s="185" t="str">
        <x:v>Select theory; rewrite RQ; bound contribution</x:v>
      </x:c>
      <x:c r="E7" s="185" t="str">
        <x:v>RQ · TheoryMap · Hypothesis / Proposition</x:v>
      </x:c>
      <x:c r="F7" s="185" t="str">
        <x:v>G1 part</x:v>
      </x:c>
      <x:c r="G7" s="185" t="str">
        <x:v>A plausible story is not evidence</x:v>
      </x:c>
      <x:c r="H7" s="185" t="str">
        <x:v>Theory ready for design</x:v>
      </x:c>
    </x:row>
    <x:row r="8" ht="54" customHeight="1">
      <x:c r="A8" s="185" t="str">
        <x:v>S3 · Design</x:v>
      </x:c>
      <x:c r="B8" s="185" t="str">
        <x:v>Design Agent</x:v>
      </x:c>
      <x:c r="C8" s="185" t="str">
        <x:v>Compare primary/backup designs, estimand or objective, assumptions, threats, stop rules</x:v>
      </x:c>
      <x:c r="D8" s="185" t="str">
        <x:v>Choose or modify design; accept risks; name reviewer</x:v>
      </x:c>
      <x:c r="E8" s="185" t="str">
        <x:v>ResearchProtocol · DesignMemo · AssumptionRegistry</x:v>
      </x:c>
      <x:c r="F8" s="185" t="str">
        <x:v>G1</x:v>
      </x:c>
      <x:c r="G8" s="185" t="str">
        <x:v>Method choice and causal language require human review</x:v>
      </x:c>
      <x:c r="H8" s="185" t="str">
        <x:v>Approved research design</x:v>
      </x:c>
    </x:row>
    <x:row r="9" ht="54" customHeight="1">
      <x:c r="A9" s="185" t="str">
        <x:v>S4 · Data &amp; Ethics</x:v>
      </x:c>
      <x:c r="B9" s="185" t="str">
        <x:v>Data Agent</x:v>
      </x:c>
      <x:c r="C9" s="185" t="str">
        <x:v>Sources, variables, joins, sample, quality, PII, license, ethics, execution location</x:v>
      </x:c>
      <x:c r="D9" s="185" t="str">
        <x:v>Confirm access; edit proxies; decide where data runs</x:v>
      </x:c>
      <x:c r="E9" s="185" t="str">
        <x:v>DataContract · VariableMap · EthicsChecklist</x:v>
      </x:c>
      <x:c r="F9" s="185" t="str">
        <x:v>G2</x:v>
      </x:c>
      <x:c r="G9" s="185" t="str">
        <x:v>Raw data and licenses are not rewritten by AI</x:v>
      </x:c>
      <x:c r="H9" s="185" t="str">
        <x:v>Approved data contract</x:v>
      </x:c>
    </x:row>
    <x:row r="10" ht="54" customHeight="1">
      <x:c r="A10" s="185" t="str">
        <x:v>S5 · Analysis Plan</x:v>
      </x:c>
      <x:c r="B10" s="185" t="str">
        <x:v>Analysis Plan Agent</x:v>
      </x:c>
      <x:c r="C10" s="185" t="str">
        <x:v>Primary/secondary analyses, sample rules, SEs, weights, diagnostics, robustness</x:v>
      </x:c>
      <x:c r="D10" s="185" t="str">
        <x:v>Edit item-by-item; freeze plan; choose Python/R/Stata</x:v>
      </x:c>
      <x:c r="E10" s="185" t="str">
        <x:v>AnalysisPlan · MethodCard links · CodePlan</x:v>
      </x:c>
      <x:c r="F10" s="185" t="str">
        <x:v>G3 pre</x:v>
      </x:c>
      <x:c r="G10" s="185" t="str">
        <x:v>No silent plan change; all code traces to the plan</x:v>
      </x:c>
      <x:c r="H10" s="185" t="str">
        <x:v>G3 review packet ready</x:v>
      </x:c>
    </x:row>
    <x:row r="11" ht="54" customHeight="1">
      <x:c r="A11" s="185" t="str">
        <x:v>S6 · Stata / Compute</x:v>
      </x:c>
      <x:c r="B11" s="185" t="str">
        <x:v>Stata Analyst</x:v>
      </x:c>
      <x:c r="C11" s="185" t="str">
        <x:v>Generate do-file patches, preflight, batch run, parse log and artifacts</x:v>
      </x:c>
      <x:c r="D11" s="185" t="str">
        <x:v>Review code; approve run; cancel; choose rerun branch</x:v>
      </x:c>
      <x:c r="E11" s="185" t="str">
        <x:v>do-file · RunConfig · RunManifest</x:v>
      </x:c>
      <x:c r="F11" s="185" t="str">
        <x:v>G3 run</x:v>
      </x:c>
      <x:c r="G11" s="185" t="str">
        <x:v>No unapproved main run; raw logs and numbers immutable</x:v>
      </x:c>
      <x:c r="H11" s="185" t="str">
        <x:v>Successful or explained run</x:v>
      </x:c>
    </x:row>
    <x:row r="12" ht="54" customHeight="1">
      <x:c r="A12" s="185" t="str">
        <x:v>S7 · Robustness</x:v>
      </x:c>
      <x:c r="B12" s="185" t="str">
        <x:v>Robustness Agent</x:v>
      </x:c>
      <x:c r="C12" s="185" t="str">
        <x:v>Design-specific diagnostics, placebo/stress tests, reproduction and diff report</x:v>
      </x:c>
      <x:c r="D12" s="185" t="str">
        <x:v>Request tests; accept failure impact; return upstream</x:v>
      </x:c>
      <x:c r="E12" s="185" t="str">
        <x:v>RobustnessMatrix · ReproReport</x:v>
      </x:c>
      <x:c r="F12" s="185" t="str">
        <x:v>G4 pre</x:v>
      </x:c>
      <x:c r="G12" s="185" t="str">
        <x:v>Failed checks cannot be hidden by prose</x:v>
      </x:c>
      <x:c r="H12" s="185" t="str">
        <x:v>Evidence package ready</x:v>
      </x:c>
    </x:row>
    <x:row r="13" ht="54" customHeight="1">
      <x:c r="A13" s="185" t="str">
        <x:v>S8 · Evidence &amp; Claims</x:v>
      </x:c>
      <x:c r="B13" s="185" t="str">
        <x:v>Evidence Agent</x:v>
      </x:c>
      <x:c r="C13" s="185" t="str">
        <x:v>Link results, papers, counterevidence; flag overclaiming and boundaries</x:v>
      </x:c>
      <x:c r="D13" s="185" t="str">
        <x:v>Rewrite, downgrade, or withdraw Claim; confirm implications</x:v>
      </x:c>
      <x:c r="E13" s="185" t="str">
        <x:v>Claim · EvidenceEdge · InterpretationMemo</x:v>
      </x:c>
      <x:c r="F13" s="185" t="str">
        <x:v>G4</x:v>
      </x:c>
      <x:c r="G13" s="185" t="str">
        <x:v>Significance does not automatically become a claim</x:v>
      </x:c>
      <x:c r="H13" s="185" t="str">
        <x:v>Approved claims</x:v>
      </x:c>
    </x:row>
    <x:row r="14" ht="54" customHeight="1">
      <x:c r="A14" s="185" t="str">
        <x:v>S9 · Writing &amp; Release</x:v>
      </x:c>
      <x:c r="B14" s="185" t="str">
        <x:v>Writing Agent</x:v>
      </x:c>
      <x:c r="C14" s="185" t="str">
        <x:v>Draft only from approved Claims; audit citations/numbers; build repro package</x:v>
      </x:c>
      <x:c r="D14" s="185" t="str">
        <x:v>Rewrite; disclose; respond to review; authorize release</x:v>
      </x:c>
      <x:c r="E14" s="185" t="str">
        <x:v>Manuscript · ResponseLetter · ReleasePackage</x:v>
      </x:c>
      <x:c r="F14" s="185" t="str">
        <x:v>G5</x:v>
      </x:c>
      <x:c r="G14" s="185" t="str">
        <x:v>No unapproved evidence or silent number edits</x:v>
      </x:c>
      <x:c r="H14" s="185" t="str">
        <x:v>Approved release package</x:v>
      </x:c>
    </x:row>
    <x:row r="17">
      <x:c r="A17" s="181" t="str">
        <x:v>Gate</x:v>
      </x:c>
      <x:c r="B17" s="182" t="str">
        <x:v>Approval Package</x:v>
      </x:c>
      <x:c r="C17" s="182" t="str">
        <x:v>Default Reviewer</x:v>
      </x:c>
      <x:c r="D17" s="182" t="str">
        <x:v>User May Edit</x:v>
      </x:c>
      <x:c r="E17" s="182" t="str">
        <x:v>Unlocks</x:v>
      </x:c>
      <x:c r="F17" s="182" t="str">
        <x:v>Invalidated By</x:v>
      </x:c>
      <x:c r="G17" s="182" t="str">
        <x:v>AI Limit</x:v>
      </x:c>
      <x:c r="H17" s="183" t="str">
        <x:v>Evidence Test</x:v>
      </x:c>
    </x:row>
    <x:row r="18" ht="64" customHeight="1">
      <x:c r="A18" s="184" t="str">
        <x:v>G0</x:v>
      </x:c>
      <x:c r="B18" s="184" t="str">
        <x:v>Topic brief + related-research report + chosen candidate</x:v>
      </x:c>
      <x:c r="C18" s="184" t="str">
        <x:v>Researcher + PI</x:v>
      </x:c>
      <x:c r="D18" s="184" t="str">
        <x:v>Question, scope, streams, gaps, candidate</x:v>
      </x:c>
      <x:c r="E18" s="184" t="str">
        <x:v>Research Protocol</x:v>
      </x:c>
      <x:c r="F18" s="184" t="str">
        <x:v>Topic boundary or candidate changes</x:v>
      </x:c>
      <x:c r="G18" s="184" t="str">
        <x:v>No novelty guarantee; no self-approval</x:v>
      </x:c>
      <x:c r="H18" s="184" t="str">
        <x:v>Counter-search + coverage limits</x:v>
      </x:c>
    </x:row>
    <x:row r="19" ht="64" customHeight="1">
      <x:c r="A19" s="185" t="str">
        <x:v>G1</x:v>
      </x:c>
      <x:c r="B19" s="185" t="str">
        <x:v>RQ + theory + estimand/objective + design + assumptions</x:v>
      </x:c>
      <x:c r="C19" s="185" t="str">
        <x:v>PI + method reviewer</x:v>
      </x:c>
      <x:c r="D19" s="185" t="str">
        <x:v>Constructs, hypotheses, contribution, design, stop rules</x:v>
      </x:c>
      <x:c r="E19" s="185" t="str">
        <x:v>Data Contract + detailed plan</x:v>
      </x:c>
      <x:c r="F19" s="185" t="str">
        <x:v>RQ, theory, estimand, or design changes</x:v>
      </x:c>
      <x:c r="G19" s="185" t="str">
        <x:v>No method auto-selection</x:v>
      </x:c>
      <x:c r="H19" s="185" t="str">
        <x:v>Rival explanations + assumption audit</x:v>
      </x:c>
    </x:row>
    <x:row r="20" ht="64" customHeight="1">
      <x:c r="A20" s="185" t="str">
        <x:v>G2</x:v>
      </x:c>
      <x:c r="B20" s="185" t="str">
        <x:v>Source + variables + sample + PII + license + ethics</x:v>
      </x:c>
      <x:c r="C20" s="185" t="str">
        <x:v>Data steward / researcher</x:v>
      </x:c>
      <x:c r="D20" s="185" t="str">
        <x:v>Source, mapping, de-identification, execution location</x:v>
      </x:c>
      <x:c r="E20" s="185" t="str">
        <x:v>Data preparation + plan freeze</x:v>
      </x:c>
      <x:c r="F20" s="185" t="str">
        <x:v>Source, sample, key variable, license, ethics changes</x:v>
      </x:c>
      <x:c r="G20" s="185" t="str">
        <x:v>No access-right inference or restricted upload</x:v>
      </x:c>
      <x:c r="H20" s="185" t="str">
        <x:v>Access proof + data contract</x:v>
      </x:c>
    </x:row>
    <x:row r="21" ht="64" customHeight="1">
      <x:c r="A21" s="185" t="str">
        <x:v>G3</x:v>
      </x:c>
      <x:c r="B21" s="185" t="str">
        <x:v>Analysis Plan + code hash + environment + primary/secondary analyses</x:v>
      </x:c>
      <x:c r="C21" s="185" t="str">
        <x:v>Method reviewer</x:v>
      </x:c>
      <x:c r="D21" s="185" t="str">
        <x:v>Model, sample, SE, weights, diagnostics, code patches</x:v>
      </x:c>
      <x:c r="E21" s="185" t="str">
        <x:v>Main analysis run</x:v>
      </x:c>
      <x:c r="F21" s="185" t="str">
        <x:v>Model, sample rule, SE, weight, outcome, or code changes</x:v>
      </x:c>
      <x:c r="G21" s="185" t="str">
        <x:v>AI cannot approve or run changed main code</x:v>
      </x:c>
      <x:c r="H21" s="185" t="str">
        <x:v>Plan-to-code diff + preflight</x:v>
      </x:c>
    </x:row>
    <x:row r="22" ht="64" customHeight="1">
      <x:c r="A22" s="185" t="str">
        <x:v>G4</x:v>
      </x:c>
      <x:c r="B22" s="185" t="str">
        <x:v>Runs + diagnostics + robustness + evidence + Claims</x:v>
      </x:c>
      <x:c r="C22" s="185" t="str">
        <x:v>PI/author + method reviewer</x:v>
      </x:c>
      <x:c r="D22" s="185" t="str">
        <x:v>Interpretation, boundary, confidence, added tests</x:v>
      </x:c>
      <x:c r="E22" s="185" t="str">
        <x:v>Formal writing</x:v>
      </x:c>
      <x:c r="F22" s="185" t="str">
        <x:v>New run or Claim direction/scope/confidence changes</x:v>
      </x:c>
      <x:c r="G22" s="185" t="str">
        <x:v>Raw results cannot be edited</x:v>
      </x:c>
      <x:c r="H22" s="185" t="str">
        <x:v>Result lineage + failed-check visibility</x:v>
      </x:c>
    </x:row>
    <x:row r="23" ht="64" customHeight="1">
      <x:c r="A23" s="185" t="str">
        <x:v>G5</x:v>
      </x:c>
      <x:c r="B23" s="185" t="str">
        <x:v>Manuscript + references + number audit + repro + license list</x:v>
      </x:c>
      <x:c r="C23" s="185" t="str">
        <x:v>PI / corresponding author</x:v>
      </x:c>
      <x:c r="D23" s="185" t="str">
        <x:v>Text, structure, figures, disclosure</x:v>
      </x:c>
      <x:c r="E23" s="185" t="str">
        <x:v>Final export / release</x:v>
      </x:c>
      <x:c r="F23" s="185" t="str">
        <x:v>Semantic Claim or underlying artifact changes</x:v>
      </x:c>
      <x:c r="G23" s="185" t="str">
        <x:v>No autonomous publication</x:v>
      </x:c>
      <x:c r="H23" s="185" t="str">
        <x:v>Citation + number + package audit</x:v>
      </x:c>
    </x:row>
    <x:row r="26">
      <x:c r="A26" s="181" t="str">
        <x:v>Change Scope</x:v>
      </x:c>
      <x:c r="B26" s="182" t="str">
        <x:v>Invalid Gates</x:v>
      </x:c>
      <x:c r="C26" s="182" t="str">
        <x:v>Revision Behavior</x:v>
      </x:c>
      <x:c r="D26" s="182" t="str">
        <x:v>Impact Preview</x:v>
      </x:c>
      <x:c r="E26" s="182" t="str">
        <x:v>Old Decision Kept</x:v>
      </x:c>
      <x:c r="F26" s="182" t="str">
        <x:v>Rerun?</x:v>
      </x:c>
      <x:c r="G26" s="182" t="str">
        <x:v>Human Action</x:v>
      </x:c>
      <x:c r="H26" s="183" t="str">
        <x:v>Acceptance</x:v>
      </x:c>
    </x:row>
    <x:row r="27" ht="50" customHeight="1">
      <x:c r="A27" s="184" t="str">
        <x:v>Topic boundary / core concept / candidate</x:v>
      </x:c>
      <x:c r="B27" s="184" t="str">
        <x:v>G0–G5</x:v>
      </x:c>
      <x:c r="C27" s="184" t="str">
        <x:v>Create branch from approved revision</x:v>
      </x:c>
      <x:c r="D27" s="184" t="str">
        <x:v>Show full downstream impact before save</x:v>
      </x:c>
      <x:c r="E27" s="184" t="str">
        <x:v>Yes</x:v>
      </x:c>
      <x:c r="F27" s="184" t="str">
        <x:v>Search may need replay</x:v>
      </x:c>
      <x:c r="G27" s="184" t="str">
        <x:v>Revise and resubmit</x:v>
      </x:c>
      <x:c r="H27" s="184" t="str">
        <x:v>A38</x:v>
      </x:c>
    </x:row>
    <x:row r="28" ht="50" customHeight="1">
      <x:c r="A28" s="185" t="str">
        <x:v>RQ / theory / estimand / primary design</x:v>
      </x:c>
      <x:c r="B28" s="185" t="str">
        <x:v>G1–G5</x:v>
      </x:c>
      <x:c r="C28" s="185" t="str">
        <x:v>Create semantic revision</x:v>
      </x:c>
      <x:c r="D28" s="185" t="str">
        <x:v>Show affected plans, runs, Claims, manuscript</x:v>
      </x:c>
      <x:c r="E28" s="185" t="str">
        <x:v>Yes</x:v>
      </x:c>
      <x:c r="F28" s="185" t="str">
        <x:v>Usually</x:v>
      </x:c>
      <x:c r="G28" s="185" t="str">
        <x:v>Re-review design</x:v>
      </x:c>
      <x:c r="H28" s="185" t="str">
        <x:v>A38</x:v>
      </x:c>
    </x:row>
    <x:row r="29" ht="50" customHeight="1">
      <x:c r="A29" s="185" t="str">
        <x:v>Data source / sample period / main variable / license</x:v>
      </x:c>
      <x:c r="B29" s="185" t="str">
        <x:v>G2–G5</x:v>
      </x:c>
      <x:c r="C29" s="185" t="str">
        <x:v>Create DataContract revision</x:v>
      </x:c>
      <x:c r="D29" s="185" t="str">
        <x:v>Show data, runs, Claims, release impact</x:v>
      </x:c>
      <x:c r="E29" s="185" t="str">
        <x:v>Yes</x:v>
      </x:c>
      <x:c r="F29" s="185" t="str">
        <x:v>Yes</x:v>
      </x:c>
      <x:c r="G29" s="185" t="str">
        <x:v>Reapprove data and rerun</x:v>
      </x:c>
      <x:c r="H29" s="185" t="str">
        <x:v>A38</x:v>
      </x:c>
    </x:row>
    <x:row r="30" ht="50" customHeight="1">
      <x:c r="A30" s="185" t="str">
        <x:v>Main model / sample rule / SE / weight / do-file</x:v>
      </x:c>
      <x:c r="B30" s="185" t="str">
        <x:v>G3–G5</x:v>
      </x:c>
      <x:c r="C30" s="185" t="str">
        <x:v>Create plan/code revision</x:v>
      </x:c>
      <x:c r="D30" s="185" t="str">
        <x:v>Show hash and output impact</x:v>
      </x:c>
      <x:c r="E30" s="185" t="str">
        <x:v>Yes</x:v>
      </x:c>
      <x:c r="F30" s="185" t="str">
        <x:v>Yes</x:v>
      </x:c>
      <x:c r="G30" s="185" t="str">
        <x:v>Reapprove G3</x:v>
      </x:c>
      <x:c r="H30" s="185" t="str">
        <x:v>A38</x:v>
      </x:c>
    </x:row>
    <x:row r="31" ht="50" customHeight="1">
      <x:c r="A31" s="185" t="str">
        <x:v>New run changes result / diagnostic / robustness</x:v>
      </x:c>
      <x:c r="B31" s="185" t="str">
        <x:v>G4–G5</x:v>
      </x:c>
      <x:c r="C31" s="185" t="str">
        <x:v>Keep both Runs; select evidence branch</x:v>
      </x:c>
      <x:c r="D31" s="185" t="str">
        <x:v>Show Claim and manuscript impact</x:v>
      </x:c>
      <x:c r="E31" s="185" t="str">
        <x:v>Yes</x:v>
      </x:c>
      <x:c r="F31" s="185" t="str">
        <x:v>Already rerun</x:v>
      </x:c>
      <x:c r="G31" s="185" t="str">
        <x:v>Re-review claims</x:v>
      </x:c>
      <x:c r="H31" s="185" t="str">
        <x:v>A38</x:v>
      </x:c>
    </x:row>
    <x:row r="32" ht="50" customHeight="1">
      <x:c r="A32" s="185" t="str">
        <x:v>Claim direction / scope / confidence / evidence</x:v>
      </x:c>
      <x:c r="B32" s="185" t="str">
        <x:v>G4–G5</x:v>
      </x:c>
      <x:c r="C32" s="185" t="str">
        <x:v>Create Claim revision</x:v>
      </x:c>
      <x:c r="D32" s="185" t="str">
        <x:v>Show affected text and figures</x:v>
      </x:c>
      <x:c r="E32" s="185" t="str">
        <x:v>Yes</x:v>
      </x:c>
      <x:c r="F32" s="185" t="str">
        <x:v>No unless evidence changes</x:v>
      </x:c>
      <x:c r="G32" s="185" t="str">
        <x:v>Reapprove G4</x:v>
      </x:c>
      <x:c r="H32" s="185" t="str">
        <x:v>A38</x:v>
      </x:c>
    </x:row>
    <x:row r="33" ht="50" customHeight="1">
      <x:c r="A33" s="185" t="str">
        <x:v>Formatting / typo with unchanged semantic hash</x:v>
      </x:c>
      <x:c r="B33" s="185" t="str">
        <x:v>G5 output check</x:v>
      </x:c>
      <x:c r="C33" s="185" t="str">
        <x:v>Small revision</x:v>
      </x:c>
      <x:c r="D33" s="185" t="str">
        <x:v>Show classification and diff</x:v>
      </x:c>
      <x:c r="E33" s="185" t="str">
        <x:v>Yes</x:v>
      </x:c>
      <x:c r="F33" s="185" t="str">
        <x:v>No</x:v>
      </x:c>
      <x:c r="G33" s="185" t="str">
        <x:v>Recheck final output</x:v>
      </x:c>
      <x:c r="H33" s="185" t="str">
        <x:v>A38</x:v>
      </x:c>
    </x:row>
  </x:sheetData>
  <x:mergeCells>
    <x:mergeCell ref="A1:H1"/>
    <x:mergeCell ref="A2:H2"/>
  </x:mergeCells>
  <x:pageMargins left="0.7" right="0.7" top="0.75" bottom="0.75" header="0.3" footer="0.3"/>
  <x:tableParts count="3">
    <x:tablePart xmlns:r="http://schemas.openxmlformats.org/officeDocument/2006/relationships" r:id="R92347c10d31945ed"/>
    <x:tablePart xmlns:r="http://schemas.openxmlformats.org/officeDocument/2006/relationships" r:id="Rfbf5b0f46ad443e9"/>
    <x:tablePart xmlns:r="http://schemas.openxmlformats.org/officeDocument/2006/relationships" r:id="R7810404457564a5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32" hidden="0" customWidth="1"/>
    <x:col min="4" max="4" width="18" hidden="0" customWidth="1"/>
    <x:col min="5" max="5" width="27" hidden="0" customWidth="1"/>
    <x:col min="6" max="6" width="26" hidden="0" customWidth="1"/>
    <x:col min="7" max="7" width="31" hidden="0" customWidth="1"/>
    <x:col min="8" max="8" width="15" hidden="0" customWidth="1"/>
  </x:cols>
  <x:sheetData>
    <x:row r="1" ht="30" customHeight="1">
      <x:c r="A1" s="168" t="str">
        <x:v>Stata Workbench: Editable, Approved, Reproducible Analysis</x:v>
      </x:c>
      <x:c r="B1" s="168"/>
      <x:c r="C1" s="168"/>
      <x:c r="D1" s="168"/>
      <x:c r="E1" s="168"/>
      <x:c r="F1" s="168"/>
      <x:c r="G1" s="168"/>
      <x:c r="H1" s="168"/>
    </x:row>
    <x:row r="2" ht="32" customHeight="1">
      <x:c r="A2" s="172" t="str">
        <x:v>Batch-first integration in a user- or institution-licensed environment; G3 approval is required before a main run.</x:v>
      </x:c>
      <x:c r="B2" s="172"/>
      <x:c r="C2" s="172"/>
      <x:c r="D2" s="172"/>
      <x:c r="E2" s="172"/>
      <x:c r="F2" s="172"/>
      <x:c r="G2" s="172"/>
      <x:c r="H2" s="172"/>
    </x:row>
    <x:row r="4">
      <x:c r="A4" s="181" t="str">
        <x:v>Workbench Area</x:v>
      </x:c>
      <x:c r="B4" s="182" t="str">
        <x:v>AI Assists</x:v>
      </x:c>
      <x:c r="C4" s="182" t="str">
        <x:v>Human Action</x:v>
      </x:c>
      <x:c r="D4" s="182" t="str">
        <x:v>Gate / Status</x:v>
      </x:c>
      <x:c r="E4" s="182" t="str">
        <x:v>Main Output</x:v>
      </x:c>
      <x:c r="F4" s="182" t="str">
        <x:v>Mandatory Record</x:v>
      </x:c>
      <x:c r="G4" s="182" t="str">
        <x:v>Block Condition</x:v>
      </x:c>
      <x:c r="H4" s="183" t="str">
        <x:v>Acceptance</x:v>
      </x:c>
    </x:row>
    <x:row r="5" ht="58" customHeight="1">
      <x:c r="A5" s="184" t="str">
        <x:v>Analysis Plan</x:v>
      </x:c>
      <x:c r="B5" s="184" t="str">
        <x:v>Turn approved design/data into estimand, sample, variables, SEs, weights, diagnostics</x:v>
      </x:c>
      <x:c r="C5" s="184" t="str">
        <x:v>Edit every field; choose Stata/Python/R; submit G3</x:v>
      </x:c>
      <x:c r="D5" s="184" t="str">
        <x:v>Draft → review</x:v>
      </x:c>
      <x:c r="E5" s="184" t="str">
        <x:v>AnalysisPlan</x:v>
      </x:c>
      <x:c r="F5" s="184" t="str">
        <x:v>Plan revision + linked assumptions</x:v>
      </x:c>
      <x:c r="G5" s="184" t="str">
        <x:v>Missing G1/G2 or unresolved method risk</x:v>
      </x:c>
      <x:c r="H5" s="184" t="str">
        <x:v>A36 · A37</x:v>
      </x:c>
    </x:row>
    <x:row r="6" ht="58" customHeight="1">
      <x:c r="A6" s="185" t="str">
        <x:v>Do-file Studio</x:v>
      </x:c>
      <x:c r="B6" s="185" t="str">
        <x:v>Generate small explained patches tied to plan items and formula cards</x:v>
      </x:c>
      <x:c r="C6" s="185" t="str">
        <x:v>Accept, modify, reject, comment, branch, or rollback</x:v>
      </x:c>
      <x:c r="D6" s="185" t="str">
        <x:v>G3 packet</x:v>
      </x:c>
      <x:c r="E6" s="185" t="str">
        <x:v>Versioned analysis.do</x:v>
      </x:c>
      <x:c r="F6" s="185" t="str">
        <x:v>Patch diff + author + reason + SHA-256</x:v>
      </x:c>
      <x:c r="G6" s="185" t="str">
        <x:v>Unreviewed semantic change</x:v>
      </x:c>
      <x:c r="H6" s="185" t="str">
        <x:v>A36 · A38</x:v>
      </x:c>
    </x:row>
    <x:row r="7" ht="58" customHeight="1">
      <x:c r="A7" s="185" t="str">
        <x:v>Preflight</x:v>
      </x:c>
      <x:c r="B7" s="185" t="str">
        <x:v>Check variables, keys, panel/time declaration, commands, version, seats, paths, policy</x:v>
      </x:c>
      <x:c r="C7" s="185" t="str">
        <x:v>Fix mapping; select runner; request approved ado</x:v>
      </x:c>
      <x:c r="D7" s="185" t="str">
        <x:v>Before run</x:v>
      </x:c>
      <x:c r="E7" s="185" t="str">
        <x:v>Preflight report</x:v>
      </x:c>
      <x:c r="F7" s="185" t="str">
        <x:v>Stata edition/version + which/adopath + policy result</x:v>
      </x:c>
      <x:c r="G7" s="185" t="str">
        <x:v>Dangerous command, missing variable, no seat, hash mismatch</x:v>
      </x:c>
      <x:c r="H7" s="185" t="str">
        <x:v>A34</x:v>
      </x:c>
    </x:row>
    <x:row r="8" ht="58" customHeight="1">
      <x:c r="A8" s="185" t="str">
        <x:v>Batch Run</x:v>
      </x:c>
      <x:c r="B8" s="185" t="str">
        <x:v>Submit signed bundle; stream status; collect logs, exit code, tables, graphs</x:v>
      </x:c>
      <x:c r="C8" s="185" t="str">
        <x:v>Start, cancel, or rerun from an approved branch</x:v>
      </x:c>
      <x:c r="D8" s="185" t="str">
        <x:v>G3 approved</x:v>
      </x:c>
      <x:c r="E8" s="185" t="str">
        <x:v>Run + raw log + artifacts</x:v>
      </x:c>
      <x:c r="F8" s="185" t="str">
        <x:v>Input/code hashes + timestamps + exit code</x:v>
      </x:c>
      <x:c r="G8" s="185" t="str">
        <x:v>Unapproved code/data or policy violation</x:v>
      </x:c>
      <x:c r="H8" s="185" t="str">
        <x:v>A31</x:v>
      </x:c>
    </x:row>
    <x:row r="9" ht="58" customHeight="1">
      <x:c r="A9" s="185" t="str">
        <x:v>Results Review</x:v>
      </x:c>
      <x:c r="B9" s="185" t="str">
        <x:v>Structure outputs; map diagnostics and robustness to candidate Claims</x:v>
      </x:c>
      <x:c r="C9" s="185" t="str">
        <x:v>Annotate; request rerun; edit interpretation; submit G4</x:v>
      </x:c>
      <x:c r="D9" s="185" t="str">
        <x:v>G4 packet</x:v>
      </x:c>
      <x:c r="E9" s="185" t="str">
        <x:v>Result/Evidence links</x:v>
      </x:c>
      <x:c r="F9" s="185" t="str">
        <x:v>Generating command + Run + artifact hash</x:v>
      </x:c>
      <x:c r="G9" s="185" t="str">
        <x:v>Failed critical diagnostic or unsupported Claim</x:v>
      </x:c>
      <x:c r="H9" s="185" t="str">
        <x:v>A35</x:v>
      </x:c>
    </x:row>
    <x:row r="10" ht="58" customHeight="1">
      <x:c r="A10" s="185" t="str">
        <x:v>Repro Package</x:v>
      </x:c>
      <x:c r="B10" s="185" t="str">
        <x:v>Assemble do-file, manifests, logs, data signature, outputs, replay instructions</x:v>
      </x:c>
      <x:c r="C10" s="185" t="str">
        <x:v>Download, hand off, replay in licensed runner</x:v>
      </x:c>
      <x:c r="D10" s="185" t="str">
        <x:v>G5 support</x:v>
      </x:c>
      <x:c r="E10" s="185" t="str">
        <x:v>Repro bundle</x:v>
      </x:c>
      <x:c r="F10" s="185" t="str">
        <x:v>Environment/ado/data/output manifests</x:v>
      </x:c>
      <x:c r="G10" s="185" t="str">
        <x:v>Signature mismatch or non-reproduced result</x:v>
      </x:c>
      <x:c r="H10" s="185" t="str">
        <x:v>A32 · A33</x:v>
      </x:c>
    </x:row>
    <x:row r="13">
      <x:c r="A13" s="181" t="str">
        <x:v>Template</x:v>
      </x:c>
      <x:c r="B13" s="182" t="str">
        <x:v>Phase</x:v>
      </x:c>
      <x:c r="C13" s="182" t="str">
        <x:v>Main Command / Task</x:v>
      </x:c>
      <x:c r="D13" s="182" t="str">
        <x:v>Required Checks</x:v>
      </x:c>
      <x:c r="E13" s="182" t="str">
        <x:v>Data Need</x:v>
      </x:c>
      <x:c r="F13" s="182" t="str">
        <x:v>Output</x:v>
      </x:c>
      <x:c r="G13" s="182" t="str">
        <x:v>Evidence Use</x:v>
      </x:c>
      <x:c r="H13" s="183" t="str">
        <x:v>Acceptance</x:v>
      </x:c>
    </x:row>
    <x:row r="14" ht="60" customHeight="1">
      <x:c r="A14" s="184" t="str">
        <x:v>Data audit</x:v>
      </x:c>
      <x:c r="B14" s="184" t="str">
        <x:v>MVP</x:v>
      </x:c>
      <x:c r="C14" s="184" t="str">
        <x:v>describe · codebook · misstable · duplicates · isid · datasignature</x:v>
      </x:c>
      <x:c r="D14" s="184" t="str">
        <x:v>Unit, missingness, duplicates, outliers, signature</x:v>
      </x:c>
      <x:c r="E14" s="184" t="str">
        <x:v>Any structured data</x:v>
      </x:c>
      <x:c r="F14" s="184" t="str">
        <x:v>Audit log + flagged issues + signature</x:v>
      </x:c>
      <x:c r="G14" s="184" t="str">
        <x:v>Input artifact</x:v>
      </x:c>
      <x:c r="H14" s="184" t="str">
        <x:v>A32 · A33</x:v>
      </x:c>
    </x:row>
    <x:row r="15" ht="60" customHeight="1">
      <x:c r="A15" s="185" t="str">
        <x:v>OLS / GLM</x:v>
      </x:c>
      <x:c r="B15" s="185" t="str">
        <x:v>MVP</x:v>
      </x:c>
      <x:c r="C15" s="185" t="str">
        <x:v>regress · logit/probit/poisson · margins</x:v>
      </x:c>
      <x:c r="D15" s="185" t="str">
        <x:v>Effect size/CI, heteroskedasticity, collinearity, clustering</x:v>
      </x:c>
      <x:c r="E15" s="185" t="str">
        <x:v>Cross-section / panel slice</x:v>
      </x:c>
      <x:c r="F15" s="185" t="str">
        <x:v>etable/collect table + diagnostics</x:v>
      </x:c>
      <x:c r="G15" s="185" t="str">
        <x:v>Claim candidates</x:v>
      </x:c>
      <x:c r="H15" s="185" t="str">
        <x:v>A32 · A35</x:v>
      </x:c>
    </x:row>
    <x:row r="16" ht="60" customHeight="1">
      <x:c r="A16" s="185" t="str">
        <x:v>Panel FE</x:v>
      </x:c>
      <x:c r="B16" s="185" t="str">
        <x:v>MVP</x:v>
      </x:c>
      <x:c r="C16" s="185" t="str">
        <x:v>xtset · xtreg · time/entity effects</x:v>
      </x:c>
      <x:c r="D16" s="185" t="str">
        <x:v>Within variation, serial correlation, FE choice, clustered SE</x:v>
      </x:c>
      <x:c r="E16" s="185" t="str">
        <x:v>Panel with validated keys</x:v>
      </x:c>
      <x:c r="F16" s="185" t="str">
        <x:v>Model table + panel diagnostics</x:v>
      </x:c>
      <x:c r="G16" s="185" t="str">
        <x:v>Claim candidates</x:v>
      </x:c>
      <x:c r="H16" s="185" t="str">
        <x:v>A32 · A35</x:v>
      </x:c>
    </x:row>
    <x:row r="17" ht="60" customHeight="1">
      <x:c r="A17" s="185" t="str">
        <x:v>DiD / event study</x:v>
      </x:c>
      <x:c r="B17" s="185" t="str">
        <x:v>MVP</x:v>
      </x:c>
      <x:c r="C17" s="185" t="str">
        <x:v>Approved official treatment-effects/panel commands or locked ado</x:v>
      </x:c>
      <x:c r="D17" s="185" t="str">
        <x:v>Parallel trends, staggered timing, anticipation, spillover, event window</x:v>
      </x:c>
      <x:c r="E17" s="185" t="str">
        <x:v>Treatment timing + comparison units</x:v>
      </x:c>
      <x:c r="F17" s="185" t="str">
        <x:v>Effects + event plot + placebo/robustness</x:v>
      </x:c>
      <x:c r="G17" s="185" t="str">
        <x:v>Causal Claim candidates</x:v>
      </x:c>
      <x:c r="H17" s="185" t="str">
        <x:v>A32 · A35</x:v>
      </x:c>
    </x:row>
    <x:row r="20">
      <x:c r="A20" s="181" t="str">
        <x:v>Control</x:v>
      </x:c>
      <x:c r="B20" s="182" t="str">
        <x:v>Preflight Check</x:v>
      </x:c>
      <x:c r="C20" s="182" t="str">
        <x:v>Human Decision</x:v>
      </x:c>
      <x:c r="D20" s="182" t="str">
        <x:v>Block Condition</x:v>
      </x:c>
      <x:c r="E20" s="182" t="str">
        <x:v>Recorded Proof</x:v>
      </x:c>
      <x:c r="F20" s="182" t="str">
        <x:v>Owner</x:v>
      </x:c>
      <x:c r="G20" s="182" t="str">
        <x:v>Acceptance</x:v>
      </x:c>
      <x:c r="H20" s="183" t="str">
        <x:v>Phase</x:v>
      </x:c>
    </x:row>
    <x:row r="21" ht="42" customHeight="1">
      <x:c r="A21" s="184" t="str">
        <x:v>BYOL license</x:v>
      </x:c>
      <x:c r="B21" s="184" t="str">
        <x:v>Runner points to an existing licensed installation</x:v>
      </x:c>
      <x:c r="C21" s="184" t="str">
        <x:v>Choose local or institution runner</x:v>
      </x:c>
      <x:c r="D21" s="184" t="str">
        <x:v>No valid runner profile</x:v>
      </x:c>
      <x:c r="E21" s="184" t="str">
        <x:v>Runner profile; never serial/license key</x:v>
      </x:c>
      <x:c r="F21" s="184" t="str">
        <x:v>Org admin</x:v>
      </x:c>
      <x:c r="G21" s="184" t="str">
        <x:v>A34</x:v>
      </x:c>
      <x:c r="H21" s="184" t="str">
        <x:v>MVP</x:v>
      </x:c>
    </x:row>
    <x:row r="22" ht="42" customHeight="1">
      <x:c r="A22" s="185" t="str">
        <x:v>Seat limit</x:v>
      </x:c>
      <x:c r="B22" s="185" t="str">
        <x:v>Active jobs &lt; configured concurrent seats</x:v>
      </x:c>
      <x:c r="C22" s="185" t="str">
        <x:v>Queue, cancel, or wait</x:v>
      </x:c>
      <x:c r="D22" s="185" t="str">
        <x:v>No seat available</x:v>
      </x:c>
      <x:c r="E22" s="185" t="str">
        <x:v>Seat decision + queue event</x:v>
      </x:c>
      <x:c r="F22" s="185" t="str">
        <x:v>Runner service</x:v>
      </x:c>
      <x:c r="G22" s="185" t="str">
        <x:v>A34</x:v>
      </x:c>
      <x:c r="H22" s="185" t="str">
        <x:v>MVP</x:v>
      </x:c>
    </x:row>
    <x:row r="23" ht="42" customHeight="1">
      <x:c r="A23" s="185" t="str">
        <x:v>G3 hash guard</x:v>
      </x:c>
      <x:c r="B23" s="185" t="str">
        <x:v>Plan revision, do-file SHA-256, DataContract version match approval</x:v>
      </x:c>
      <x:c r="C23" s="185" t="str">
        <x:v>Resubmit changed code for review</x:v>
      </x:c>
      <x:c r="D23" s="185" t="str">
        <x:v>Any mismatch</x:v>
      </x:c>
      <x:c r="E23" s="185" t="str">
        <x:v>Approval record + hashes</x:v>
      </x:c>
      <x:c r="F23" s="185" t="str">
        <x:v>Approval service</x:v>
      </x:c>
      <x:c r="G23" s="185" t="str">
        <x:v>A37 · A38</x:v>
      </x:c>
      <x:c r="H23" s="185" t="str">
        <x:v>MVP</x:v>
      </x:c>
    </x:row>
    <x:row r="24" ht="42" customHeight="1">
      <x:c r="A24" s="185" t="str">
        <x:v>Process / network</x:v>
      </x:c>
      <x:c r="B24" s="185" t="str">
        <x:v>Block shell/!, external process, arbitrary URL, unapproved Python/Java</x:v>
      </x:c>
      <x:c r="C24" s="185" t="str">
        <x:v>Request narrowly scoped exception</x:v>
      </x:c>
      <x:c r="D24" s="185" t="str">
        <x:v>Policy violation</x:v>
      </x:c>
      <x:c r="E24" s="185" t="str">
        <x:v>Linter finding + decision</x:v>
      </x:c>
      <x:c r="F24" s="185" t="str">
        <x:v>Security</x:v>
      </x:c>
      <x:c r="G24" s="185" t="str">
        <x:v>A34</x:v>
      </x:c>
      <x:c r="H24" s="185" t="str">
        <x:v>MVP</x:v>
      </x:c>
    </x:row>
    <x:row r="25" ht="42" customHeight="1">
      <x:c r="A25" s="185" t="str">
        <x:v>ado manifest</x:v>
      </x:c>
      <x:c r="B25" s="185" t="str">
        <x:v>Only approved source/version/checksum/permission</x:v>
      </x:c>
      <x:c r="C25" s="185" t="str">
        <x:v>Approve package or replace command</x:v>
      </x:c>
      <x:c r="D25" s="185" t="str">
        <x:v>Dynamic ssc/net install</x:v>
      </x:c>
      <x:c r="E25" s="185" t="str">
        <x:v>which/adopath + package manifest</x:v>
      </x:c>
      <x:c r="F25" s="185" t="str">
        <x:v>Method + security</x:v>
      </x:c>
      <x:c r="G25" s="185" t="str">
        <x:v>A33 · A34</x:v>
      </x:c>
      <x:c r="H25" s="185" t="str">
        <x:v>MVP</x:v>
      </x:c>
    </x:row>
    <x:row r="26" ht="42" customHeight="1">
      <x:c r="A26" s="185" t="str">
        <x:v>Data boundary</x:v>
      </x:c>
      <x:c r="B26" s="185" t="str">
        <x:v>Read-only approved mounts; restricted data stays local/institutional</x:v>
      </x:c>
      <x:c r="C26" s="185" t="str">
        <x:v>Select execution location and allowed outputs</x:v>
      </x:c>
      <x:c r="D26" s="185" t="str">
        <x:v>Path/license/PII violation</x:v>
      </x:c>
      <x:c r="E26" s="185" t="str">
        <x:v>DataContract + mount/output manifest</x:v>
      </x:c>
      <x:c r="F26" s="185" t="str">
        <x:v>Data steward</x:v>
      </x:c>
      <x:c r="G26" s="185" t="str">
        <x:v>A34</x:v>
      </x:c>
      <x:c r="H26" s="185" t="str">
        <x:v>MVP</x:v>
      </x:c>
    </x:row>
    <x:row r="27" ht="42" customHeight="1">
      <x:c r="A27" s="185" t="str">
        <x:v>Lineage</x:v>
      </x:c>
      <x:c r="B27" s="185" t="str">
        <x:v>Capture datasignature, file/output SHA-256, command, version, OS, locale, logs</x:v>
      </x:c>
      <x:c r="C27" s="185" t="str">
        <x:v>Review mismatch; rerun or annotate</x:v>
      </x:c>
      <x:c r="D27" s="185" t="str">
        <x:v>Missing proof or inconsistent replay</x:v>
      </x:c>
      <x:c r="E27" s="185" t="str">
        <x:v>RunManifest + ReproReport</x:v>
      </x:c>
      <x:c r="F27" s="185" t="str">
        <x:v>Compute + repro</x:v>
      </x:c>
      <x:c r="G27" s="185" t="str">
        <x:v>A31 · A33 · A35</x:v>
      </x:c>
      <x:c r="H27" s="185" t="str">
        <x:v>MVP</x:v>
      </x:c>
    </x:row>
    <x:row r="30">
      <x:c r="A30" s="188" t="str">
        <x:v>Official Stata references used for the integration boundary</x:v>
      </x:c>
      <x:c r="B30" s="188"/>
      <x:c r="C30" s="188"/>
      <x:c r="D30" s="188"/>
      <x:c r="E30" s="188"/>
      <x:c r="F30" s="188"/>
      <x:c r="G30" s="188"/>
      <x:c r="H30" s="188"/>
    </x:row>
    <x:row r="31" ht="22" customHeight="1">
      <x:c r="A31" s="192" t="str">
        <x:v>Batch mode · Unix</x:v>
      </x:c>
      <x:c r="B31" s="192" t="str">
        <x:v>https://www.stata.com/support/faqs/unix/batch-mode/</x:v>
      </x:c>
      <x:c r="C31" s="192"/>
      <x:c r="D31" s="192"/>
      <x:c r="E31" s="192"/>
      <x:c r="F31" s="192"/>
      <x:c r="G31" s="192"/>
      <x:c r="H31" s="192"/>
    </x:row>
    <x:row r="32" ht="22" customHeight="1">
      <x:c r="A32" s="196" t="str">
        <x:v>Batch mode · Windows</x:v>
      </x:c>
      <x:c r="B32" s="196" t="str">
        <x:v>https://www.stata.com/support/faqs/windows/batch-mode/</x:v>
      </x:c>
      <x:c r="C32" s="196"/>
      <x:c r="D32" s="196"/>
      <x:c r="E32" s="196"/>
      <x:c r="F32" s="196"/>
      <x:c r="G32" s="196"/>
      <x:c r="H32" s="196"/>
    </x:row>
    <x:row r="33" ht="22" customHeight="1">
      <x:c r="A33" s="192" t="str">
        <x:v>PyStata</x:v>
      </x:c>
      <x:c r="B33" s="192" t="str">
        <x:v>https://www.stata.com/features/overview/pystata-python-integration/</x:v>
      </x:c>
      <x:c r="C33" s="192"/>
      <x:c r="D33" s="192"/>
      <x:c r="E33" s="192"/>
      <x:c r="F33" s="192"/>
      <x:c r="G33" s="192"/>
      <x:c r="H33" s="192"/>
    </x:row>
    <x:row r="34" ht="22" customHeight="1">
      <x:c r="A34" s="196" t="str">
        <x:v>Reproducible reporting</x:v>
      </x:c>
      <x:c r="B34" s="196" t="str">
        <x:v>https://www.stata.com/features/overview/truly-reproducible-reporting/</x:v>
      </x:c>
      <x:c r="C34" s="196"/>
      <x:c r="D34" s="196"/>
      <x:c r="E34" s="196"/>
      <x:c r="F34" s="196"/>
      <x:c r="G34" s="196"/>
      <x:c r="H34" s="196"/>
    </x:row>
    <x:row r="35" ht="22" customHeight="1">
      <x:c r="A35" s="192" t="str">
        <x:v>datasignature</x:v>
      </x:c>
      <x:c r="B35" s="192" t="str">
        <x:v>https://www.stata.com/manuals/ddatasignature.pdf</x:v>
      </x:c>
      <x:c r="C35" s="192"/>
      <x:c r="D35" s="192"/>
      <x:c r="E35" s="192"/>
      <x:c r="F35" s="192"/>
      <x:c r="G35" s="192"/>
      <x:c r="H35" s="192"/>
    </x:row>
    <x:row r="36" ht="22" customHeight="1">
      <x:c r="A36" s="196" t="str">
        <x:v>License options</x:v>
      </x:c>
      <x:c r="B36" s="196" t="str">
        <x:v>https://www.stata.com/order/license-options/</x:v>
      </x:c>
      <x:c r="C36" s="196"/>
      <x:c r="D36" s="196"/>
      <x:c r="E36" s="196"/>
      <x:c r="F36" s="196"/>
      <x:c r="G36" s="196"/>
      <x:c r="H36" s="196"/>
    </x:row>
  </x:sheetData>
  <x:mergeCells>
    <x:mergeCell ref="A1:H1"/>
    <x:mergeCell ref="A2:H2"/>
    <x:mergeCell ref="A30:H30"/>
    <x:mergeCell ref="B31:H31"/>
    <x:mergeCell ref="B32:H32"/>
    <x:mergeCell ref="B33:H33"/>
    <x:mergeCell ref="B34:H34"/>
    <x:mergeCell ref="B35:H35"/>
    <x:mergeCell ref="B36:H36"/>
  </x:mergeCells>
  <x:pageMargins left="0.7" right="0.7" top="0.75" bottom="0.75" header="0.3" footer="0.3"/>
  <x:tableParts count="3">
    <x:tablePart xmlns:r="http://schemas.openxmlformats.org/officeDocument/2006/relationships" r:id="Ra4a63a2ddbbe4772"/>
    <x:tablePart xmlns:r="http://schemas.openxmlformats.org/officeDocument/2006/relationships" r:id="R0491ee96c2464103"/>
    <x:tablePart xmlns:r="http://schemas.openxmlformats.org/officeDocument/2006/relationships" r:id="R10ba291c591b4b44"/>
  </x:tableParts>
</x:worksheet>
</file>